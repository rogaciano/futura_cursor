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EstaPasta_de_trabalho" defaultThemeVersion="124226"/>
  <mc:AlternateContent xmlns:mc="http://schemas.openxmlformats.org/markup-compatibility/2006">
    <mc:Choice Requires="x15">
      <x15ac:absPath xmlns:x15ac="http://schemas.microsoft.com/office/spreadsheetml/2010/11/ac" url="C:\projetos\Futura sonet 4.5\"/>
    </mc:Choice>
  </mc:AlternateContent>
  <xr:revisionPtr revIDLastSave="0" documentId="8_{7CD08B95-063D-4255-BC03-7BF14C8C91E7}" xr6:coauthVersionLast="47" xr6:coauthVersionMax="47" xr10:uidLastSave="{00000000-0000-0000-0000-000000000000}"/>
  <bookViews>
    <workbookView xWindow="-28920" yWindow="-120" windowWidth="29040" windowHeight="15720" xr2:uid="{00000000-000D-0000-FFFF-FFFF00000000}"/>
  </bookViews>
  <sheets>
    <sheet name="Tabela" sheetId="4" r:id="rId1"/>
    <sheet name="Plan2" sheetId="2" r:id="rId2"/>
    <sheet name="CÁLCULO" sheetId="1" r:id="rId3"/>
    <sheet name="Plan1" sheetId="5" r:id="rId4"/>
  </sheets>
  <definedNames>
    <definedName name="_xlnm._FilterDatabase" localSheetId="0" hidden="1">Tabela!$I$25:$J$26</definedName>
    <definedName name="a_canvas">Tabela!$AC$104:$AC$105</definedName>
    <definedName name="a_cetim">Tabela!$AD$104:$AD$105</definedName>
    <definedName name="alta_definicao">Tabela!$AD$114:$AD$118</definedName>
    <definedName name="_xlnm.Print_Area" localSheetId="0">Tabela!$A$1:$U$50</definedName>
    <definedName name="canvas">Tabela!$AC$104:$AC$105</definedName>
    <definedName name="CC">CÁLCULO!$D$26</definedName>
    <definedName name="cetim">Tabela!$AD$104:$AD$105</definedName>
    <definedName name="dupla_densidade">Tabela!$AB$114:$AB$125</definedName>
    <definedName name="formula_batidas">Tabela!$AD$92</definedName>
    <definedName name="larg_calc">Tabela!$C$24</definedName>
    <definedName name="larg_real">Tabela!$C$23</definedName>
    <definedName name="lista_teste">Tabela!$AC$48:$AC$54</definedName>
    <definedName name="metros">Tabela!$M$19</definedName>
    <definedName name="milheiros">Tabela!$M$21</definedName>
    <definedName name="nadson">Tabela!$AD$95</definedName>
    <definedName name="nome_cortes">CÁLCULO!$D$39:$D$52</definedName>
    <definedName name="perc_aumento_geral">Plan2!$A$46</definedName>
    <definedName name="perc_ultrassonico">Plan2!$A$43</definedName>
    <definedName name="sarja">Tabela!$AB$104:$AB$106</definedName>
    <definedName name="SERGIO">Tabela!$AH$112</definedName>
    <definedName name="super_batidas">Tabela!$AF$104:$AF$106</definedName>
    <definedName name="SuperSoft">Tabela!$AE$104:$AE$107</definedName>
    <definedName name="tab_cortes">CÁLCULO!$E$39:$F$52</definedName>
    <definedName name="tab_metros">Plan2!$B$4:$E$11</definedName>
    <definedName name="tab_tipos">Tabela!$AN$45:$AN$52</definedName>
    <definedName name="tabela_fator">Plan2!$H$5:$AI$18</definedName>
    <definedName name="tafeta">Tabela!$AB$109:$AB$111</definedName>
    <definedName name="tipo">Tabela!$E$23</definedName>
    <definedName name="urdume">Tabela!$AQ$32:$AS$39</definedName>
    <definedName name="valor_total">Tabela!$S$15</definedName>
    <definedName name="var_largura">CÁLCULO!$B$5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2" l="1"/>
  <c r="W39" i="4"/>
  <c r="AD92" i="4"/>
  <c r="X88" i="4"/>
  <c r="AD86" i="4"/>
  <c r="AE92" i="4"/>
  <c r="AE16" i="4"/>
  <c r="AK114" i="4" l="1"/>
  <c r="AK113" i="4"/>
  <c r="AK112" i="4"/>
  <c r="AK111" i="4"/>
  <c r="AK110" i="4"/>
  <c r="AK109" i="4"/>
  <c r="AK108" i="4"/>
  <c r="AK107" i="4"/>
  <c r="AK106" i="4"/>
  <c r="AK105" i="4"/>
  <c r="AK104" i="4"/>
  <c r="AK103" i="4"/>
  <c r="AK115" i="4"/>
  <c r="AK116" i="4"/>
  <c r="AK117" i="4"/>
  <c r="AK118" i="4"/>
  <c r="AM105" i="4"/>
  <c r="AM104" i="4"/>
  <c r="AM103" i="4"/>
  <c r="AJ102" i="4"/>
  <c r="C11" i="4" l="1"/>
  <c r="C26" i="4" s="1"/>
  <c r="U39" i="4" l="1"/>
  <c r="T39" i="4"/>
  <c r="K10" i="4" l="1"/>
  <c r="T50" i="4" l="1"/>
  <c r="T26" i="4"/>
  <c r="X3" i="4"/>
  <c r="C1" i="4" s="1"/>
  <c r="B21" i="2" l="1"/>
  <c r="B20" i="2"/>
  <c r="B19" i="2"/>
  <c r="D7" i="1"/>
  <c r="E52" i="1"/>
  <c r="AK82" i="4"/>
  <c r="AK83" i="4"/>
  <c r="AK84" i="4"/>
  <c r="AK85" i="4"/>
  <c r="AK86" i="4"/>
  <c r="AK87" i="4"/>
  <c r="AK88" i="4"/>
  <c r="AK89" i="4"/>
  <c r="AK90" i="4"/>
  <c r="AK91" i="4"/>
  <c r="AK92" i="4"/>
  <c r="AK93" i="4"/>
  <c r="AK81" i="4"/>
  <c r="E47" i="1"/>
  <c r="E53" i="1"/>
  <c r="E51" i="1"/>
  <c r="E40" i="1"/>
  <c r="E49" i="1"/>
  <c r="E48" i="1"/>
  <c r="E41" i="1"/>
  <c r="E50" i="1"/>
  <c r="E54" i="1"/>
  <c r="E55" i="1"/>
  <c r="E56" i="1"/>
  <c r="E57" i="1"/>
  <c r="E58" i="1"/>
  <c r="E59" i="1"/>
  <c r="E60" i="1"/>
  <c r="E44" i="1"/>
  <c r="E39" i="1" l="1"/>
  <c r="E45" i="1"/>
  <c r="E42" i="1"/>
  <c r="E43" i="1"/>
  <c r="E46" i="1"/>
  <c r="D3" i="1"/>
  <c r="E5" i="1" a="1"/>
  <c r="E5" i="1" s="1"/>
  <c r="E7" i="1" a="1"/>
  <c r="E7" i="1" s="1"/>
  <c r="AO49" i="4" l="1"/>
  <c r="AO48" i="4"/>
  <c r="V41" i="4" l="1"/>
  <c r="AO47" i="4" l="1"/>
  <c r="AO51" i="4"/>
  <c r="AO52" i="4"/>
  <c r="AO50" i="4"/>
  <c r="F19" i="4"/>
  <c r="AM102" i="4" l="1" a="1"/>
  <c r="AM102" i="4" s="1"/>
  <c r="AQ91" i="4"/>
  <c r="AQ90" i="4"/>
  <c r="AQ89" i="4"/>
  <c r="AQ88" i="4"/>
  <c r="AQ87" i="4"/>
  <c r="AQ86" i="4"/>
  <c r="AQ85" i="4"/>
  <c r="AQ84" i="4"/>
  <c r="AQ83" i="4"/>
  <c r="AQ82" i="4"/>
  <c r="AQ81" i="4"/>
  <c r="AQ80" i="4"/>
  <c r="AQ79" i="4"/>
  <c r="AQ78" i="4"/>
  <c r="AQ77" i="4"/>
  <c r="AQ76" i="4"/>
  <c r="AQ75" i="4"/>
  <c r="AQ74" i="4"/>
  <c r="AQ73" i="4"/>
  <c r="AQ72" i="4"/>
  <c r="AQ71" i="4"/>
  <c r="AL64" i="4"/>
  <c r="L21" i="2" a="1"/>
  <c r="L21" i="2" s="1"/>
  <c r="B40" i="4"/>
  <c r="AS51" i="4" a="1"/>
  <c r="AS51" i="4" s="1"/>
  <c r="Q19" i="4"/>
  <c r="AQ70" i="4"/>
  <c r="AQ69" i="4"/>
  <c r="AQ68" i="4"/>
  <c r="AQ67" i="4"/>
  <c r="AQ66" i="4"/>
  <c r="AQ65" i="4"/>
  <c r="AQ64" i="4"/>
  <c r="AQ63" i="4"/>
  <c r="AQ62" i="4"/>
  <c r="AQ61" i="4"/>
  <c r="AQ60" i="4"/>
  <c r="AQ59" i="4"/>
  <c r="AQ58" i="4"/>
  <c r="AQ57" i="4"/>
  <c r="AQ56" i="4"/>
  <c r="AQ55" i="4"/>
  <c r="AQ54" i="4"/>
  <c r="AQ53" i="4" a="1"/>
  <c r="AQ53" i="4" s="1"/>
  <c r="AL63" i="4"/>
  <c r="AL62" i="4"/>
  <c r="AL61" i="4"/>
  <c r="AL60" i="4"/>
  <c r="AL59" i="4"/>
  <c r="AL58" i="4"/>
  <c r="AL56" i="4"/>
  <c r="O21" i="2"/>
  <c r="A7" i="1" a="1"/>
  <c r="A7" i="1" s="1"/>
  <c r="A5" i="1"/>
  <c r="AN44" i="4"/>
  <c r="AO46" i="4"/>
  <c r="AO45" i="4"/>
  <c r="C7" i="1" a="1"/>
  <c r="C7" i="1" s="1"/>
  <c r="L35" i="2" s="1"/>
  <c r="C5" i="1"/>
  <c r="L33" i="2" s="1"/>
  <c r="C3" i="1"/>
  <c r="B3" i="1"/>
  <c r="M40" i="2" s="1"/>
  <c r="A3" i="1"/>
  <c r="B5" i="1"/>
  <c r="N33" i="2" s="1"/>
  <c r="D15" i="2"/>
  <c r="A17" i="2"/>
  <c r="J41" i="1"/>
  <c r="J42" i="1"/>
  <c r="J43" i="1"/>
  <c r="J48" i="1"/>
  <c r="O24" i="2" s="1"/>
  <c r="J49" i="1"/>
  <c r="O25" i="2" s="1"/>
  <c r="J50" i="1"/>
  <c r="O26" i="2" s="1"/>
  <c r="J51" i="1"/>
  <c r="O27" i="2" s="1"/>
  <c r="J52" i="1"/>
  <c r="O28" i="2" s="1"/>
  <c r="AN55" i="4" l="1"/>
  <c r="D5" i="1" a="1"/>
  <c r="D5" i="1" s="1"/>
  <c r="A15" i="2" s="1"/>
  <c r="M39" i="2"/>
  <c r="M42" i="2"/>
  <c r="M35" i="2"/>
  <c r="M41" i="2"/>
  <c r="O20" i="2" a="1"/>
  <c r="O20" i="2" s="1"/>
  <c r="N35" i="2"/>
  <c r="O44" i="2"/>
  <c r="O41" i="2"/>
  <c r="A9" i="1" a="1"/>
  <c r="A9" i="1" s="1"/>
  <c r="D16" i="1" s="1"/>
  <c r="E15" i="2" a="1"/>
  <c r="E15" i="2" s="1"/>
  <c r="P33" i="2" s="1"/>
  <c r="C16" i="1"/>
  <c r="C17" i="2"/>
  <c r="B7" i="1"/>
  <c r="C15" i="2"/>
  <c r="B15" i="2" s="1"/>
  <c r="B16" i="2" l="1"/>
  <c r="O45" i="2"/>
  <c r="M33" i="2"/>
  <c r="D25" i="1" s="1"/>
  <c r="O33" i="2"/>
  <c r="B17" i="2"/>
  <c r="O40" i="2"/>
  <c r="O42" i="2"/>
  <c r="B16" i="1"/>
  <c r="P35" i="2"/>
  <c r="H6" i="1" a="1"/>
  <c r="H6" i="1" s="1"/>
  <c r="M20" i="4"/>
  <c r="M21" i="4" s="1"/>
  <c r="O43" i="2" l="1"/>
  <c r="O35" i="2"/>
  <c r="B13" i="1" s="1"/>
  <c r="O49" i="2"/>
  <c r="D26" i="1" l="1"/>
  <c r="C13" i="1" s="1"/>
  <c r="D13" i="1" l="1"/>
  <c r="A16" i="1" a="1"/>
  <c r="A16" i="1" s="1"/>
  <c r="O15" i="4" s="1"/>
  <c r="S15" i="4" s="1"/>
  <c r="H13" i="1" l="1"/>
  <c r="AL2" i="4" l="1"/>
  <c r="AK2" i="4"/>
  <c r="V40" i="4"/>
  <c r="E15" i="4" l="1"/>
  <c r="A13" i="1" s="1"/>
  <c r="K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WIN10</author>
    <author>tc={B7DE0EFD-D9F4-422F-82EC-8EE910CA1611}</author>
    <author>tc={CBF55230-F6F1-42B1-A3B1-D7C723E8394A}</author>
    <author>tc={621036E0-1A01-4912-9DDA-A975D0C389E5}</author>
    <author>tc={1B401E11-61D1-4494-8F8E-AACF556557E3}</author>
  </authors>
  <commentList>
    <comment ref="K15" authorId="0" shapeId="0" xr:uid="{00000000-0006-0000-0000-000001000000}">
      <text>
        <r>
          <rPr>
            <b/>
            <sz val="8"/>
            <color indexed="81"/>
            <rFont val="Tahoma"/>
            <charset val="1"/>
          </rPr>
          <t>Windows User:</t>
        </r>
        <r>
          <rPr>
            <sz val="8"/>
            <color indexed="81"/>
            <rFont val="Tahoma"/>
            <charset val="1"/>
          </rPr>
          <t xml:space="preserve">
Valor total 
Dividido
Metro</t>
        </r>
      </text>
    </comment>
    <comment ref="F26" authorId="1" shapeId="0" xr:uid="{00000000-0006-0000-0000-000002000000}">
      <text>
        <r>
          <rPr>
            <b/>
            <sz val="9"/>
            <color indexed="81"/>
            <rFont val="Segoe UI"/>
            <family val="2"/>
          </rPr>
          <t>Inserir data igual ou maior que 25 dias</t>
        </r>
      </text>
    </comment>
    <comment ref="K26" authorId="1" shapeId="0" xr:uid="{00000000-0006-0000-0000-000003000000}">
      <text>
        <r>
          <rPr>
            <b/>
            <sz val="9"/>
            <color indexed="81"/>
            <rFont val="Segoe UI"/>
            <family val="2"/>
          </rPr>
          <t>Inserir data igual ou maior que 25 dias</t>
        </r>
      </text>
    </comment>
    <comment ref="O26" authorId="1" shapeId="0" xr:uid="{00000000-0006-0000-0000-000004000000}">
      <text>
        <r>
          <rPr>
            <b/>
            <sz val="9"/>
            <color indexed="81"/>
            <rFont val="Segoe UI"/>
            <family val="2"/>
          </rPr>
          <t>Inserir data igual ou maior que 25 dias</t>
        </r>
        <r>
          <rPr>
            <sz val="9"/>
            <color indexed="81"/>
            <rFont val="Segoe UI"/>
            <family val="2"/>
          </rPr>
          <t xml:space="preserve">
</t>
        </r>
      </text>
    </comment>
    <comment ref="Q31" authorId="2" shapeId="0" xr:uid="{B7DE0EFD-D9F4-422F-82EC-8EE910CA161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Fd = Fundo
</t>
      </text>
    </comment>
    <comment ref="R31" authorId="3" shapeId="0" xr:uid="{CBF55230-F6F1-42B1-A3B1-D7C723E839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Tabela de Cores
</t>
      </text>
    </comment>
    <comment ref="U31" authorId="4" shapeId="0" xr:uid="{621036E0-1A01-4912-9DDA-A975D0C389E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Fd = Fundo
</t>
      </text>
    </comment>
    <comment ref="V31" authorId="5" shapeId="0" xr:uid="{1B401E11-61D1-4494-8F8E-AACF556557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Tabela de Cores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H19" authorId="0" shapeId="0" xr:uid="{00000000-0006-0000-0200-000001000000}">
      <text>
        <r>
          <rPr>
            <b/>
            <sz val="8"/>
            <color indexed="81"/>
            <rFont val="Tahoma"/>
            <family val="2"/>
          </rPr>
          <t>Windows User:</t>
        </r>
        <r>
          <rPr>
            <sz val="8"/>
            <color indexed="81"/>
            <rFont val="Tahoma"/>
            <family val="2"/>
          </rPr>
          <t xml:space="preserve">
LEMBRAR QUE NA FÓRMULA VAI DE 3 EM 3
</t>
        </r>
      </text>
    </comment>
  </commentList>
</comments>
</file>

<file path=xl/sharedStrings.xml><?xml version="1.0" encoding="utf-8"?>
<sst xmlns="http://schemas.openxmlformats.org/spreadsheetml/2006/main" count="524" uniqueCount="378">
  <si>
    <t>banco de dados</t>
  </si>
  <si>
    <t>CM (COEFICIENTE POR METRAGEM)</t>
  </si>
  <si>
    <t>CÓD</t>
  </si>
  <si>
    <t>METROS</t>
  </si>
  <si>
    <t>TAFETÁ</t>
  </si>
  <si>
    <t>SARJA</t>
  </si>
  <si>
    <t>ALT. DEF.</t>
  </si>
  <si>
    <t>CODIFICAÇÃO PARA CM</t>
  </si>
  <si>
    <t>TABELA PARA CÁLCULOS DE ETIQUETAS</t>
  </si>
  <si>
    <t>QUANT. DE METROS</t>
  </si>
  <si>
    <t>TABELA</t>
  </si>
  <si>
    <t>TIPO</t>
  </si>
  <si>
    <t>ALTA DEFINIÇÃO</t>
  </si>
  <si>
    <t>LARGURA</t>
  </si>
  <si>
    <t>ETAPAS DE CALCULO</t>
  </si>
  <si>
    <t>SG</t>
  </si>
  <si>
    <t>CORTE</t>
  </si>
  <si>
    <t>DOBRA MEIO</t>
  </si>
  <si>
    <t>DOBRA CANTOS</t>
  </si>
  <si>
    <t>CORTE NORMAL</t>
  </si>
  <si>
    <t>ENVELOPE</t>
  </si>
  <si>
    <t>DOBRA DESCENTRALIZADA</t>
  </si>
  <si>
    <t>CM</t>
  </si>
  <si>
    <t>FITAS</t>
  </si>
  <si>
    <t>CC</t>
  </si>
  <si>
    <t>CC (COEFICIENTE POR CORTE)</t>
  </si>
  <si>
    <t>MEIO CORTE</t>
  </si>
  <si>
    <t xml:space="preserve">DOBRA CANTOS  </t>
  </si>
  <si>
    <t xml:space="preserve">CORTE NORMAL </t>
  </si>
  <si>
    <t xml:space="preserve">DOBRA MEIO </t>
  </si>
  <si>
    <t>TIPO DE GOMA</t>
  </si>
  <si>
    <t>A</t>
  </si>
  <si>
    <t>GOMA</t>
  </si>
  <si>
    <t>COD TIPO</t>
  </si>
  <si>
    <t>SOMA CT</t>
  </si>
  <si>
    <t>TOTAL</t>
  </si>
  <si>
    <t xml:space="preserve">A </t>
  </si>
  <si>
    <t>VALOR GOMA P/METRO</t>
  </si>
  <si>
    <t>VALOR MEIO- CORTE</t>
  </si>
  <si>
    <t>VALOR DO METRO</t>
  </si>
  <si>
    <t>VALOR DA UNIDADE</t>
  </si>
  <si>
    <t>QUANTIDADE DE ETIQUETAS</t>
  </si>
  <si>
    <t>COR URDUME</t>
  </si>
  <si>
    <t>UNID. POR PACOTE</t>
  </si>
  <si>
    <t>VERMELHO</t>
  </si>
  <si>
    <t>VALOR TOTAL</t>
  </si>
  <si>
    <t>CORTES</t>
  </si>
  <si>
    <t>GOMAS</t>
  </si>
  <si>
    <t>LARGURAS</t>
  </si>
  <si>
    <t>URDUMES</t>
  </si>
  <si>
    <t>BRANCO</t>
  </si>
  <si>
    <t>PRETO</t>
  </si>
  <si>
    <t>VALORES</t>
  </si>
  <si>
    <t>ETQ S/ CORTE</t>
  </si>
  <si>
    <t>ETQ SCORTE</t>
  </si>
  <si>
    <t>pacotes</t>
  </si>
  <si>
    <t>PACOTES</t>
  </si>
  <si>
    <t>QUANT.</t>
  </si>
  <si>
    <t>%</t>
  </si>
  <si>
    <t>F</t>
  </si>
  <si>
    <t xml:space="preserve">M </t>
  </si>
  <si>
    <t xml:space="preserve">G  </t>
  </si>
  <si>
    <t>DESCONTOS</t>
  </si>
  <si>
    <t>DESCONTO</t>
  </si>
  <si>
    <t>COD</t>
  </si>
  <si>
    <t>B</t>
  </si>
  <si>
    <t>C</t>
  </si>
  <si>
    <t>D</t>
  </si>
  <si>
    <t>E</t>
  </si>
  <si>
    <t>1</t>
  </si>
  <si>
    <t xml:space="preserve">2 </t>
  </si>
  <si>
    <t xml:space="preserve">3  </t>
  </si>
  <si>
    <t xml:space="preserve">4   </t>
  </si>
  <si>
    <t xml:space="preserve">5    </t>
  </si>
  <si>
    <t>VALOR DO MILHEIRO 1</t>
  </si>
  <si>
    <t>VALOR DO MILHEIRO 2</t>
  </si>
  <si>
    <t xml:space="preserve">TIPO 2 </t>
  </si>
  <si>
    <t>LARGURA(mm)2</t>
  </si>
  <si>
    <t>COMPRIMENTO(mm)2</t>
  </si>
  <si>
    <t>COMPRIMENTO(mm)1</t>
  </si>
  <si>
    <t>LARGURA(mm)1</t>
  </si>
  <si>
    <t>SM2</t>
  </si>
  <si>
    <t>SM1</t>
  </si>
  <si>
    <t>COMPRIMENTO TOTAL</t>
  </si>
  <si>
    <t>VALOR DO MILHEIRO TOTAL</t>
  </si>
  <si>
    <t>UNIDADE</t>
  </si>
  <si>
    <t>CONVERSOR UNIDADE X METROS</t>
  </si>
  <si>
    <t>MARCA</t>
  </si>
  <si>
    <t>REPRESENTANTE</t>
  </si>
  <si>
    <t>TIPO REAL(ORÇAMENTO)</t>
  </si>
  <si>
    <t>Bairro</t>
  </si>
  <si>
    <t>quadro para cpf cnpj</t>
  </si>
  <si>
    <t>CPF</t>
  </si>
  <si>
    <t>CNPJ</t>
  </si>
  <si>
    <t>Repetição</t>
  </si>
  <si>
    <t>Pedido</t>
  </si>
  <si>
    <t>Quantidades</t>
  </si>
  <si>
    <t>Dimensões</t>
  </si>
  <si>
    <t>Tipo</t>
  </si>
  <si>
    <t>Comprimento</t>
  </si>
  <si>
    <t>Materiais</t>
  </si>
  <si>
    <t>Acabamento</t>
  </si>
  <si>
    <t>Unidades</t>
  </si>
  <si>
    <t>Metros</t>
  </si>
  <si>
    <t>Milheiros</t>
  </si>
  <si>
    <t>Cores</t>
  </si>
  <si>
    <t>Marca</t>
  </si>
  <si>
    <t>Valores</t>
  </si>
  <si>
    <t>Cód. Op.</t>
  </si>
  <si>
    <t>quadro para Insc. Est e RG</t>
  </si>
  <si>
    <t>Insc. Est.</t>
  </si>
  <si>
    <t>R.G.</t>
  </si>
  <si>
    <t>Milheiro</t>
  </si>
  <si>
    <t>Metro</t>
  </si>
  <si>
    <t>Unid.</t>
  </si>
  <si>
    <t>Total</t>
  </si>
  <si>
    <t>Frete</t>
  </si>
  <si>
    <t>Nº</t>
  </si>
  <si>
    <t>UF</t>
  </si>
  <si>
    <t>CEP</t>
  </si>
  <si>
    <t>QT</t>
  </si>
  <si>
    <t>SIM</t>
  </si>
  <si>
    <t>NÃO</t>
  </si>
  <si>
    <t>Tipo 2 de cliente</t>
  </si>
  <si>
    <t>Novo</t>
  </si>
  <si>
    <t>Cód Fat.</t>
  </si>
  <si>
    <t>Quadro para repetição e SIMPLES</t>
  </si>
  <si>
    <t>CIF</t>
  </si>
  <si>
    <t>FOB</t>
  </si>
  <si>
    <t>1º</t>
  </si>
  <si>
    <t>2º</t>
  </si>
  <si>
    <t>Cor</t>
  </si>
  <si>
    <t>Cor do urdume</t>
  </si>
  <si>
    <t>Fd</t>
  </si>
  <si>
    <t>3º</t>
  </si>
  <si>
    <t>4º</t>
  </si>
  <si>
    <t>5º</t>
  </si>
  <si>
    <t>6º</t>
  </si>
  <si>
    <t>7º</t>
  </si>
  <si>
    <t>tipo</t>
  </si>
  <si>
    <t>Tafetá</t>
  </si>
  <si>
    <t>Alta Definição</t>
  </si>
  <si>
    <t>Dupla densidade</t>
  </si>
  <si>
    <t>Super batidas</t>
  </si>
  <si>
    <t>Sarja</t>
  </si>
  <si>
    <t>Opçoes</t>
  </si>
  <si>
    <t>Fundo preso</t>
  </si>
  <si>
    <t>Colméia</t>
  </si>
  <si>
    <t>Chapado</t>
  </si>
  <si>
    <t>Sarjado</t>
  </si>
  <si>
    <t>Diamantado</t>
  </si>
  <si>
    <t>Almofadado</t>
  </si>
  <si>
    <t>Goma F</t>
  </si>
  <si>
    <t>Interce Grosso</t>
  </si>
  <si>
    <t>Overloque + interce</t>
  </si>
  <si>
    <t>Larguras</t>
  </si>
  <si>
    <t>Urdume</t>
  </si>
  <si>
    <t>TaBELA</t>
  </si>
  <si>
    <t>CLIENTE</t>
  </si>
  <si>
    <t>REVISÃO</t>
  </si>
  <si>
    <t>SUPERVISÃO DE VENDAS</t>
  </si>
  <si>
    <t>Observações</t>
  </si>
  <si>
    <t>- - - - - - - - - - - - - - - - - - - - - - - - - - - - - - - - - - - - - - - - - - - - - - - - - - - - - - - - - - - - - - - - - - - - - - - - - - - - - - - - - -</t>
  </si>
  <si>
    <t>sarja</t>
  </si>
  <si>
    <t xml:space="preserve">SAQUINHO </t>
  </si>
  <si>
    <t xml:space="preserve">CORTE ESPECIAL </t>
  </si>
  <si>
    <t>Antigo</t>
  </si>
  <si>
    <t>fino</t>
  </si>
  <si>
    <t>grosso</t>
  </si>
  <si>
    <t>termo</t>
  </si>
  <si>
    <t>termocolante</t>
  </si>
  <si>
    <t xml:space="preserve">Interce Fino </t>
  </si>
  <si>
    <t>Clips</t>
  </si>
  <si>
    <t>----------------------------------</t>
  </si>
  <si>
    <t>1º Dens.</t>
  </si>
  <si>
    <t>2º Dens.</t>
  </si>
  <si>
    <t>SEGUNDOS</t>
  </si>
  <si>
    <t>Variantes</t>
  </si>
  <si>
    <t>GRADES</t>
  </si>
  <si>
    <t>QTD</t>
  </si>
  <si>
    <t>Pacotes</t>
  </si>
  <si>
    <t>2DOBRAS</t>
  </si>
  <si>
    <t>2 DOBRAS</t>
  </si>
  <si>
    <t>tipo de cliente</t>
  </si>
  <si>
    <t>Indústria Novo</t>
  </si>
  <si>
    <t>Opcionais</t>
  </si>
  <si>
    <t>grades? - variantes - tem cnpj?</t>
  </si>
  <si>
    <t>Tem cnpj?</t>
  </si>
  <si>
    <t>BCO</t>
  </si>
  <si>
    <t>PTO</t>
  </si>
  <si>
    <t>BRANCO E PRETO</t>
  </si>
  <si>
    <t>Nenhum</t>
  </si>
  <si>
    <t>Urdumes</t>
  </si>
  <si>
    <t>ACABAMENTO</t>
  </si>
  <si>
    <t>Indústria Antigo</t>
  </si>
  <si>
    <t>Comércio Novo</t>
  </si>
  <si>
    <t>Comércio Antigo</t>
  </si>
  <si>
    <t xml:space="preserve">Goma G </t>
  </si>
  <si>
    <t>Cola fria</t>
  </si>
  <si>
    <t>colafria</t>
  </si>
  <si>
    <t>G</t>
  </si>
  <si>
    <t>CIDADE</t>
  </si>
  <si>
    <t>ENDEREÇO</t>
  </si>
  <si>
    <t>FONE</t>
  </si>
  <si>
    <t>E-MAIL</t>
  </si>
  <si>
    <t>FORMA PAG.</t>
  </si>
  <si>
    <t>VENDAS</t>
  </si>
  <si>
    <t>EMISSÃO</t>
  </si>
  <si>
    <t>COD. OPER.</t>
  </si>
  <si>
    <t>+</t>
  </si>
  <si>
    <t>-</t>
  </si>
  <si>
    <t>Boleto bancário</t>
  </si>
  <si>
    <t>PROGRAMADO</t>
  </si>
  <si>
    <t>20 batidas</t>
  </si>
  <si>
    <t xml:space="preserve">25 batidas </t>
  </si>
  <si>
    <t xml:space="preserve">28 batidas  </t>
  </si>
  <si>
    <t>Batidas</t>
  </si>
  <si>
    <t>DATA</t>
  </si>
  <si>
    <t>ARQUIVO</t>
  </si>
  <si>
    <t>Texturas</t>
  </si>
  <si>
    <t>DESENHISTA</t>
  </si>
  <si>
    <t>TEXTURAS</t>
  </si>
  <si>
    <t>1-PIMENTAS</t>
  </si>
  <si>
    <t>2-FOLHAS</t>
  </si>
  <si>
    <t>3-HIBISCO</t>
  </si>
  <si>
    <t>4-CAFÉ</t>
  </si>
  <si>
    <t>5-FLORES</t>
  </si>
  <si>
    <t>6-PEDRAS</t>
  </si>
  <si>
    <t>7-XADREZ</t>
  </si>
  <si>
    <t>10-LIG16</t>
  </si>
  <si>
    <t>9-LIG10</t>
  </si>
  <si>
    <t>8-LIG8</t>
  </si>
  <si>
    <t>11-SARJADO</t>
  </si>
  <si>
    <t>12-ZIG ZAG</t>
  </si>
  <si>
    <t>13-ALMOFADADO</t>
  </si>
  <si>
    <t>14-ALMOFADADO P</t>
  </si>
  <si>
    <t>16-LADRILHO</t>
  </si>
  <si>
    <t>17-MOSAICO</t>
  </si>
  <si>
    <t>18-INDIANO</t>
  </si>
  <si>
    <t>19-CANELADO</t>
  </si>
  <si>
    <t>20-ONDAS</t>
  </si>
  <si>
    <t>21-CASULO</t>
  </si>
  <si>
    <t>22-CIRCULOS</t>
  </si>
  <si>
    <t>23-DIAMANTADO</t>
  </si>
  <si>
    <t>24-DEGRAUS</t>
  </si>
  <si>
    <t>25-DUNAS</t>
  </si>
  <si>
    <t>26-ENGRENAGEM</t>
  </si>
  <si>
    <t>27-JEANS</t>
  </si>
  <si>
    <t>28-SAFIRA</t>
  </si>
  <si>
    <t>29-CORAÇÃO</t>
  </si>
  <si>
    <t>30-3D</t>
  </si>
  <si>
    <t>31-GRANADA</t>
  </si>
  <si>
    <t>32-ILUSÃO</t>
  </si>
  <si>
    <t>33-INTERFERÊNCIA</t>
  </si>
  <si>
    <t>34-ZEBRA</t>
  </si>
  <si>
    <t>35-TIJOLOS</t>
  </si>
  <si>
    <t>36-BOLHAS</t>
  </si>
  <si>
    <t>15-DIAMANTADO P</t>
  </si>
  <si>
    <t>PCP</t>
  </si>
  <si>
    <t xml:space="preserve">/         /   </t>
  </si>
  <si>
    <t>FUNDO PRESO</t>
  </si>
  <si>
    <t>Sim  Alterado</t>
  </si>
  <si>
    <t>CHAPADO</t>
  </si>
  <si>
    <t>RETÍCULA</t>
  </si>
  <si>
    <t>Larg. p/ Calc</t>
  </si>
  <si>
    <t>Largura Real</t>
  </si>
  <si>
    <t xml:space="preserve">Canvas </t>
  </si>
  <si>
    <t>CONSULTA</t>
  </si>
  <si>
    <t>DOBRA MEIO CLIPS</t>
  </si>
  <si>
    <t>Ultrassônico</t>
  </si>
  <si>
    <t xml:space="preserve">algumacoisa </t>
  </si>
  <si>
    <t xml:space="preserve">      MITRA      </t>
  </si>
  <si>
    <t>CANTOSDIAGONAL</t>
  </si>
  <si>
    <t xml:space="preserve">Cetim   </t>
  </si>
  <si>
    <t>GALAO</t>
  </si>
  <si>
    <t xml:space="preserve">CANTOS DIAGONAL   </t>
  </si>
  <si>
    <t xml:space="preserve">MITRA            </t>
  </si>
  <si>
    <t xml:space="preserve">4CANTOS            </t>
  </si>
  <si>
    <t>CARAC</t>
  </si>
  <si>
    <t>TAB</t>
  </si>
  <si>
    <t>TABELA 3</t>
  </si>
  <si>
    <t>TABELA 6</t>
  </si>
  <si>
    <t>TABELA 9</t>
  </si>
  <si>
    <t>TABELA 12</t>
  </si>
  <si>
    <t>TABELA 15</t>
  </si>
  <si>
    <t>TABELA 18</t>
  </si>
  <si>
    <t>TABELA 21</t>
  </si>
  <si>
    <t>TABELA 24</t>
  </si>
  <si>
    <t>SEMICETIM - PRETO</t>
  </si>
  <si>
    <t>CETIM - PRETO</t>
  </si>
  <si>
    <t>CETIM - BRANCO</t>
  </si>
  <si>
    <t>SEMICETIM - BRANCO</t>
  </si>
  <si>
    <t>37-BOWIE</t>
  </si>
  <si>
    <t>38-ESTRELA</t>
  </si>
  <si>
    <t>39-CALÇADA</t>
  </si>
  <si>
    <t>40-ASA BRANCA</t>
  </si>
  <si>
    <t>41-TELHADO</t>
  </si>
  <si>
    <t>42-CÍTRICO</t>
  </si>
  <si>
    <t>43-SETA</t>
  </si>
  <si>
    <t>44-LÚDICO</t>
  </si>
  <si>
    <t>45-SERTÃO</t>
  </si>
  <si>
    <t>46-SCAR</t>
  </si>
  <si>
    <t>47-PUZZLE</t>
  </si>
  <si>
    <t>48-PORTÃO</t>
  </si>
  <si>
    <t>49-EQUALIZADOR</t>
  </si>
  <si>
    <t>50-GONZAGA</t>
  </si>
  <si>
    <t>51-FÁBULA</t>
  </si>
  <si>
    <t>52-PROSA</t>
  </si>
  <si>
    <t>53-METÁLICA</t>
  </si>
  <si>
    <t>54-CAROLINA</t>
  </si>
  <si>
    <t>55-OUTONO</t>
  </si>
  <si>
    <t>56-XILO</t>
  </si>
  <si>
    <t>57-ELEKTRA</t>
  </si>
  <si>
    <t>58-DYLAN</t>
  </si>
  <si>
    <t>59-COSTURA</t>
  </si>
  <si>
    <t>60-AREIA</t>
  </si>
  <si>
    <t>61-FOLK</t>
  </si>
  <si>
    <t>62-COBOGÓ</t>
  </si>
  <si>
    <t>63-FLOR DE LIS</t>
  </si>
  <si>
    <t>64-CONEXÃO</t>
  </si>
  <si>
    <t>65-ALGODÃO</t>
  </si>
  <si>
    <t>66-CHUVA</t>
  </si>
  <si>
    <t>67-YORKE</t>
  </si>
  <si>
    <t>68-CARIRI</t>
  </si>
  <si>
    <t>69-LABIRINTO</t>
  </si>
  <si>
    <t>70-TRANCOSO</t>
  </si>
  <si>
    <t>71-FADO</t>
  </si>
  <si>
    <t>72-TROPICÁLIA</t>
  </si>
  <si>
    <t>NFe</t>
  </si>
  <si>
    <t>Única</t>
  </si>
  <si>
    <t>REVENDEDOR</t>
  </si>
  <si>
    <t>Previsão de Entrega</t>
  </si>
  <si>
    <t>Deposito em conta</t>
  </si>
  <si>
    <t>Forma de pagamento</t>
  </si>
  <si>
    <t>a vista</t>
  </si>
  <si>
    <t>Cheque</t>
  </si>
  <si>
    <t>Campo Obrigatório</t>
  </si>
  <si>
    <t>SuperSoft</t>
  </si>
  <si>
    <t>15 DE JANEIRO DE 2024</t>
  </si>
  <si>
    <t>VALOR PRINCIPAL</t>
  </si>
  <si>
    <t>.</t>
  </si>
  <si>
    <t xml:space="preserve">56 batidas         </t>
  </si>
  <si>
    <t xml:space="preserve">Perc. Aumento. Corte Ultrassonico </t>
  </si>
  <si>
    <t>,</t>
  </si>
  <si>
    <t>perc aumento Geral</t>
  </si>
  <si>
    <t xml:space="preserve">35 batidas     </t>
  </si>
  <si>
    <t>canvas</t>
  </si>
  <si>
    <t>38 batidas</t>
  </si>
  <si>
    <t>cetim</t>
  </si>
  <si>
    <t>35 batidas</t>
  </si>
  <si>
    <t xml:space="preserve">60S batidas           </t>
  </si>
  <si>
    <t xml:space="preserve">70S batidas            </t>
  </si>
  <si>
    <t xml:space="preserve">80S batidas             </t>
  </si>
  <si>
    <t xml:space="preserve">90S batidas              </t>
  </si>
  <si>
    <t>Teste Tipo</t>
  </si>
  <si>
    <t>saja</t>
  </si>
  <si>
    <t>tafeta</t>
  </si>
  <si>
    <t>super batidas</t>
  </si>
  <si>
    <t xml:space="preserve">30 batidas    </t>
  </si>
  <si>
    <t xml:space="preserve">40 batidas      </t>
  </si>
  <si>
    <t>Dupla Densidade</t>
  </si>
  <si>
    <t xml:space="preserve">48 batidas       </t>
  </si>
  <si>
    <t xml:space="preserve">50 batidas        </t>
  </si>
  <si>
    <t xml:space="preserve">60 batidas          </t>
  </si>
  <si>
    <t xml:space="preserve">70 batidas           </t>
  </si>
  <si>
    <t>Alta definição</t>
  </si>
  <si>
    <t>FORMULA</t>
  </si>
  <si>
    <t xml:space="preserve">  </t>
  </si>
  <si>
    <t>F01</t>
  </si>
  <si>
    <t>F30</t>
  </si>
  <si>
    <t>No.</t>
  </si>
  <si>
    <t>Qtd</t>
  </si>
  <si>
    <t>02</t>
  </si>
  <si>
    <t>03</t>
  </si>
  <si>
    <t>04</t>
  </si>
  <si>
    <t>05</t>
  </si>
  <si>
    <t>01futb</t>
  </si>
  <si>
    <t>futura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</si>
</sst>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R$&quot;\ #,##0.00"/>
    <numFmt numFmtId="165" formatCode="#0"/>
    <numFmt numFmtId="166" formatCode="dd/mm/yy;@"/>
    <numFmt numFmtId="167" formatCode="&quot;&quot;\(&quot;CPF OU CNPJ&quot;\)"/>
    <numFmt numFmtId="168" formatCode="##\ ####\-####"/>
    <numFmt numFmtId="169" formatCode="&quot;R$ &quot;#,##0.0000_);\(&quot;R$ &quot;#,##0.0000\)"/>
    <numFmt numFmtId="170" formatCode="&quot;000.000.000-00&quot;"/>
    <numFmt numFmtId="171" formatCode="#,##0.0000_);\(#,##0.0000\)"/>
    <numFmt numFmtId="172" formatCode="#,##0.0000"/>
    <numFmt numFmtId="173" formatCode="00"/>
    <numFmt numFmtId="174" formatCode="0.0000"/>
  </numFmts>
  <fonts count="41" x14ac:knownFonts="1">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20"/>
      <color theme="1"/>
      <name val="Calibri"/>
      <family val="2"/>
      <scheme val="minor"/>
    </font>
    <font>
      <sz val="28"/>
      <color theme="1"/>
      <name val="Calibri"/>
      <family val="2"/>
      <scheme val="minor"/>
    </font>
    <font>
      <b/>
      <sz val="11"/>
      <name val="Calibri"/>
      <family val="2"/>
      <scheme val="minor"/>
    </font>
    <font>
      <u/>
      <sz val="11"/>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b/>
      <sz val="26"/>
      <color theme="0"/>
      <name val="Calibri"/>
      <family val="2"/>
      <scheme val="minor"/>
    </font>
    <font>
      <b/>
      <sz val="26"/>
      <name val="Calibri"/>
      <family val="2"/>
      <scheme val="minor"/>
    </font>
    <font>
      <sz val="24"/>
      <color theme="0"/>
      <name val="Calibri"/>
      <family val="2"/>
      <scheme val="minor"/>
    </font>
    <font>
      <b/>
      <sz val="14"/>
      <color theme="1"/>
      <name val="Calibri"/>
      <family val="2"/>
      <scheme val="minor"/>
    </font>
    <font>
      <b/>
      <sz val="9"/>
      <color theme="0"/>
      <name val="Calibri"/>
      <family val="2"/>
      <scheme val="minor"/>
    </font>
    <font>
      <b/>
      <sz val="9"/>
      <color theme="1"/>
      <name val="Calibri"/>
      <family val="2"/>
      <scheme val="minor"/>
    </font>
    <font>
      <b/>
      <sz val="16"/>
      <color theme="1"/>
      <name val="Calibri"/>
      <family val="2"/>
      <scheme val="minor"/>
    </font>
    <font>
      <b/>
      <sz val="8"/>
      <color theme="1"/>
      <name val="Calibri"/>
      <family val="2"/>
      <scheme val="minor"/>
    </font>
    <font>
      <sz val="8"/>
      <color indexed="81"/>
      <name val="Tahoma"/>
      <family val="2"/>
    </font>
    <font>
      <b/>
      <sz val="8"/>
      <color indexed="81"/>
      <name val="Tahoma"/>
      <family val="2"/>
    </font>
    <font>
      <b/>
      <sz val="9"/>
      <name val="Calibri"/>
      <family val="2"/>
      <scheme val="minor"/>
    </font>
    <font>
      <b/>
      <sz val="20"/>
      <color theme="1"/>
      <name val="Calibri"/>
      <family val="2"/>
      <scheme val="minor"/>
    </font>
    <font>
      <u/>
      <sz val="11"/>
      <color theme="10"/>
      <name val="Calibri"/>
      <family val="2"/>
    </font>
    <font>
      <b/>
      <sz val="10"/>
      <color theme="0"/>
      <name val="Calibri"/>
      <family val="2"/>
      <scheme val="minor"/>
    </font>
    <font>
      <b/>
      <sz val="12"/>
      <color theme="0"/>
      <name val="Calibri"/>
      <family val="2"/>
      <scheme val="minor"/>
    </font>
    <font>
      <sz val="11"/>
      <color rgb="FFFFCC00"/>
      <name val="Calibri"/>
      <family val="2"/>
      <scheme val="minor"/>
    </font>
    <font>
      <b/>
      <sz val="9"/>
      <color indexed="81"/>
      <name val="Segoe UI"/>
      <family val="2"/>
    </font>
    <font>
      <sz val="9"/>
      <color indexed="81"/>
      <name val="Segoe UI"/>
      <family val="2"/>
    </font>
    <font>
      <b/>
      <sz val="8"/>
      <color theme="0"/>
      <name val="Calibri"/>
      <family val="2"/>
      <scheme val="minor"/>
    </font>
    <font>
      <sz val="8"/>
      <color theme="1"/>
      <name val="Calibri"/>
      <family val="2"/>
      <scheme val="minor"/>
    </font>
    <font>
      <sz val="11"/>
      <color rgb="FFFF0000"/>
      <name val="Calibri"/>
      <family val="2"/>
      <scheme val="minor"/>
    </font>
    <font>
      <b/>
      <sz val="15"/>
      <color rgb="FFFF0000"/>
      <name val="Calibri"/>
      <family val="2"/>
      <scheme val="minor"/>
    </font>
    <font>
      <b/>
      <sz val="6"/>
      <color rgb="FFFF0000"/>
      <name val="Arial Black"/>
      <family val="2"/>
    </font>
    <font>
      <b/>
      <sz val="11"/>
      <color theme="3"/>
      <name val="Calibri"/>
      <family val="2"/>
      <scheme val="minor"/>
    </font>
    <font>
      <b/>
      <sz val="9"/>
      <color rgb="FFC00000"/>
      <name val="Arial Black"/>
      <family val="2"/>
    </font>
    <font>
      <b/>
      <sz val="18"/>
      <color rgb="FF00B050"/>
      <name val="Arial Black"/>
      <family val="2"/>
    </font>
    <font>
      <b/>
      <sz val="11"/>
      <color rgb="FFFFCC00"/>
      <name val="Calibri"/>
      <family val="2"/>
      <scheme val="minor"/>
    </font>
    <font>
      <sz val="8"/>
      <color indexed="81"/>
      <name val="Tahoma"/>
      <charset val="1"/>
    </font>
    <font>
      <b/>
      <sz val="8"/>
      <color indexed="81"/>
      <name val="Tahoma"/>
      <charset val="1"/>
    </font>
    <font>
      <sz val="11"/>
      <color theme="2"/>
      <name val="Calibri"/>
      <family val="2"/>
      <scheme val="minor"/>
    </font>
  </fonts>
  <fills count="2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9" tint="-0.249977111117893"/>
        <bgColor indexed="64"/>
      </patternFill>
    </fill>
    <fill>
      <patternFill patternType="solid">
        <fgColor theme="0"/>
        <bgColor auto="1"/>
      </patternFill>
    </fill>
    <fill>
      <patternFill patternType="solid">
        <fgColor rgb="FFFFC00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CC00"/>
        <bgColor indexed="64"/>
      </patternFill>
    </fill>
    <fill>
      <patternFill patternType="solid">
        <fgColor theme="4"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0" fontId="23" fillId="0" borderId="0" applyNumberFormat="0" applyFill="0" applyBorder="0" applyAlignment="0" applyProtection="0">
      <alignment vertical="top"/>
      <protection locked="0"/>
    </xf>
  </cellStyleXfs>
  <cellXfs count="406">
    <xf numFmtId="0" fontId="0" fillId="0" borderId="0" xfId="0"/>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Alignment="1">
      <alignment horizontal="center" vertical="center"/>
    </xf>
    <xf numFmtId="0" fontId="0" fillId="3" borderId="0" xfId="0" applyFill="1"/>
    <xf numFmtId="0" fontId="0" fillId="4" borderId="0" xfId="0" applyFill="1"/>
    <xf numFmtId="0" fontId="0" fillId="0" borderId="1" xfId="0" applyBorder="1"/>
    <xf numFmtId="0" fontId="2" fillId="2" borderId="1" xfId="0" applyFont="1" applyFill="1" applyBorder="1" applyAlignment="1">
      <alignment horizontal="center" vertical="center"/>
    </xf>
    <xf numFmtId="0" fontId="0" fillId="3" borderId="1" xfId="0" applyFill="1" applyBorder="1"/>
    <xf numFmtId="0" fontId="0" fillId="0" borderId="1" xfId="0" applyBorder="1" applyAlignment="1">
      <alignment horizontal="center" vertical="center"/>
    </xf>
    <xf numFmtId="0" fontId="1" fillId="5" borderId="0" xfId="0" applyFont="1" applyFill="1" applyAlignment="1">
      <alignment horizontal="center"/>
    </xf>
    <xf numFmtId="0" fontId="4" fillId="0" borderId="0" xfId="0" applyFont="1" applyAlignment="1">
      <alignment horizontal="center" vertical="center"/>
    </xf>
    <xf numFmtId="3" fontId="4" fillId="0" borderId="0" xfId="0" applyNumberFormat="1" applyFont="1" applyAlignment="1">
      <alignment horizontal="center" vertical="center"/>
    </xf>
    <xf numFmtId="164" fontId="5" fillId="0" borderId="0" xfId="0" applyNumberFormat="1" applyFont="1" applyAlignment="1">
      <alignment horizontal="center" vertical="center"/>
    </xf>
    <xf numFmtId="0" fontId="6" fillId="3" borderId="0" xfId="0" applyFont="1" applyFill="1" applyAlignment="1" applyProtection="1">
      <alignment horizontal="center"/>
      <protection locked="0"/>
    </xf>
    <xf numFmtId="0" fontId="2" fillId="5" borderId="0" xfId="0" applyFont="1" applyFill="1" applyAlignment="1">
      <alignment horizontal="center"/>
    </xf>
    <xf numFmtId="165" fontId="6" fillId="3" borderId="0" xfId="0" applyNumberFormat="1" applyFont="1" applyFill="1" applyAlignment="1" applyProtection="1">
      <alignment horizontal="center"/>
      <protection locked="0"/>
    </xf>
    <xf numFmtId="0" fontId="0" fillId="0" borderId="0" xfId="0" applyProtection="1">
      <protection locked="0" hidden="1"/>
    </xf>
    <xf numFmtId="0" fontId="2" fillId="6" borderId="0" xfId="0" applyFont="1" applyFill="1"/>
    <xf numFmtId="0" fontId="0" fillId="6" borderId="0" xfId="0" applyFill="1"/>
    <xf numFmtId="0" fontId="0" fillId="0" borderId="0" xfId="0" applyProtection="1">
      <protection hidden="1"/>
    </xf>
    <xf numFmtId="0" fontId="2" fillId="5" borderId="1" xfId="0" applyFont="1" applyFill="1" applyBorder="1" applyAlignment="1" applyProtection="1">
      <alignment horizontal="center"/>
      <protection hidden="1"/>
    </xf>
    <xf numFmtId="0" fontId="2" fillId="5" borderId="0" xfId="0" applyFont="1" applyFill="1" applyAlignment="1" applyProtection="1">
      <alignment horizontal="center"/>
      <protection hidden="1"/>
    </xf>
    <xf numFmtId="0" fontId="0" fillId="0" borderId="1" xfId="0" applyBorder="1" applyProtection="1">
      <protection hidden="1"/>
    </xf>
    <xf numFmtId="0" fontId="0" fillId="0" borderId="1" xfId="0" applyBorder="1" applyAlignment="1" applyProtection="1">
      <alignment horizontal="center" vertical="center"/>
      <protection hidden="1"/>
    </xf>
    <xf numFmtId="0" fontId="0" fillId="3" borderId="1" xfId="0" applyFill="1" applyBorder="1" applyProtection="1">
      <protection hidden="1"/>
    </xf>
    <xf numFmtId="0" fontId="0" fillId="0" borderId="2" xfId="0" applyBorder="1" applyAlignment="1" applyProtection="1">
      <alignment horizontal="center" vertical="center"/>
      <protection hidden="1"/>
    </xf>
    <xf numFmtId="0" fontId="0" fillId="0" borderId="3" xfId="0" applyBorder="1" applyProtection="1">
      <protection hidden="1"/>
    </xf>
    <xf numFmtId="49" fontId="0" fillId="0" borderId="1" xfId="0" applyNumberFormat="1" applyBorder="1" applyProtection="1">
      <protection hidden="1"/>
    </xf>
    <xf numFmtId="0" fontId="2" fillId="2" borderId="4" xfId="0" applyFont="1" applyFill="1" applyBorder="1" applyAlignment="1">
      <alignment horizontal="center" vertical="center"/>
    </xf>
    <xf numFmtId="0" fontId="1" fillId="6" borderId="0" xfId="0" applyFont="1" applyFill="1"/>
    <xf numFmtId="0" fontId="7" fillId="4" borderId="0" xfId="0" applyFont="1" applyFill="1"/>
    <xf numFmtId="0" fontId="6" fillId="7" borderId="0" xfId="0" applyFont="1" applyFill="1" applyAlignment="1" applyProtection="1">
      <alignment horizontal="center"/>
      <protection locked="0"/>
    </xf>
    <xf numFmtId="0" fontId="6" fillId="8" borderId="0" xfId="0" applyFont="1" applyFill="1" applyAlignment="1">
      <alignment horizontal="center"/>
    </xf>
    <xf numFmtId="0" fontId="4" fillId="0" borderId="0" xfId="0" applyFont="1" applyAlignment="1" applyProtection="1">
      <alignment horizontal="center" vertical="center"/>
      <protection hidden="1"/>
    </xf>
    <xf numFmtId="0" fontId="8" fillId="6" borderId="0" xfId="0" applyFont="1" applyFill="1" applyAlignment="1" applyProtection="1">
      <alignment horizontal="center"/>
      <protection locked="0"/>
    </xf>
    <xf numFmtId="164" fontId="5" fillId="6" borderId="0" xfId="0" applyNumberFormat="1" applyFont="1" applyFill="1" applyAlignment="1">
      <alignment horizontal="center" vertical="center"/>
    </xf>
    <xf numFmtId="0" fontId="6" fillId="7" borderId="0" xfId="0" applyFont="1" applyFill="1" applyAlignment="1">
      <alignment horizontal="center"/>
    </xf>
    <xf numFmtId="0" fontId="2" fillId="9" borderId="0" xfId="0" applyFont="1" applyFill="1" applyAlignment="1">
      <alignment horizontal="center"/>
    </xf>
    <xf numFmtId="0" fontId="10" fillId="10" borderId="0" xfId="0" applyFont="1" applyFill="1" applyAlignment="1">
      <alignment horizontal="center" wrapText="1"/>
    </xf>
    <xf numFmtId="0" fontId="2" fillId="10" borderId="0" xfId="0" applyFont="1" applyFill="1" applyAlignment="1">
      <alignment horizontal="center"/>
    </xf>
    <xf numFmtId="0" fontId="11" fillId="10" borderId="0" xfId="0" applyFont="1" applyFill="1" applyAlignment="1">
      <alignment horizontal="center" vertical="center" wrapText="1"/>
    </xf>
    <xf numFmtId="0" fontId="2" fillId="10" borderId="0" xfId="0" applyFont="1" applyFill="1" applyAlignment="1">
      <alignment horizontal="center" shrinkToFi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Protection="1">
      <protection hidden="1"/>
    </xf>
    <xf numFmtId="0" fontId="15" fillId="2" borderId="1" xfId="0" applyFont="1" applyFill="1" applyBorder="1" applyAlignment="1">
      <alignment vertical="center"/>
    </xf>
    <xf numFmtId="0" fontId="0" fillId="3" borderId="1" xfId="0" applyFill="1" applyBorder="1" applyAlignment="1">
      <alignment horizontal="center" vertical="center"/>
    </xf>
    <xf numFmtId="0" fontId="2" fillId="2" borderId="5" xfId="0" applyFont="1" applyFill="1" applyBorder="1" applyAlignment="1">
      <alignment horizontal="center" vertical="center"/>
    </xf>
    <xf numFmtId="0" fontId="15" fillId="2" borderId="0" xfId="0" applyFont="1" applyFill="1" applyAlignment="1">
      <alignment horizontal="center" vertical="center"/>
    </xf>
    <xf numFmtId="0" fontId="0" fillId="0" borderId="5" xfId="0" applyBorder="1" applyAlignment="1">
      <alignment horizontal="center" vertical="center"/>
    </xf>
    <xf numFmtId="0" fontId="3" fillId="8" borderId="0" xfId="0" applyFont="1" applyFill="1" applyAlignment="1" applyProtection="1">
      <alignment vertical="center" wrapText="1" shrinkToFit="1"/>
      <protection locked="0"/>
    </xf>
    <xf numFmtId="0" fontId="0" fillId="0" borderId="11" xfId="0" applyBorder="1" applyAlignment="1">
      <alignment horizont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8" borderId="14" xfId="0" applyFont="1" applyFill="1" applyBorder="1" applyAlignment="1" applyProtection="1">
      <alignment horizontal="center" vertical="center"/>
      <protection locked="0"/>
    </xf>
    <xf numFmtId="0" fontId="15" fillId="2" borderId="16" xfId="0" applyFont="1" applyFill="1" applyBorder="1" applyAlignment="1">
      <alignment horizontal="center" vertical="center"/>
    </xf>
    <xf numFmtId="0" fontId="0" fillId="12" borderId="0" xfId="0" applyFill="1"/>
    <xf numFmtId="0" fontId="15" fillId="2" borderId="15" xfId="0" applyFont="1" applyFill="1" applyBorder="1" applyAlignment="1">
      <alignment horizontal="center" vertical="center"/>
    </xf>
    <xf numFmtId="0" fontId="21" fillId="8" borderId="13" xfId="0" applyFont="1" applyFill="1" applyBorder="1" applyAlignment="1" applyProtection="1">
      <alignment horizontal="center" vertical="center"/>
      <protection locked="0"/>
    </xf>
    <xf numFmtId="0" fontId="3" fillId="0" borderId="9" xfId="0" applyFont="1" applyBorder="1" applyAlignment="1">
      <alignment horizontal="center" vertical="center"/>
    </xf>
    <xf numFmtId="0" fontId="3" fillId="8" borderId="2" xfId="0" applyFont="1" applyFill="1" applyBorder="1" applyAlignment="1" applyProtection="1">
      <alignment vertical="center"/>
      <protection locked="0"/>
    </xf>
    <xf numFmtId="0" fontId="15" fillId="2" borderId="9" xfId="0" applyFont="1" applyFill="1" applyBorder="1" applyAlignment="1" applyProtection="1">
      <alignment vertical="center"/>
      <protection locked="0"/>
    </xf>
    <xf numFmtId="0" fontId="0" fillId="8" borderId="1" xfId="0" applyFill="1" applyBorder="1" applyAlignment="1" applyProtection="1">
      <alignment horizontal="center" vertical="center"/>
      <protection locked="0"/>
    </xf>
    <xf numFmtId="0" fontId="0" fillId="3" borderId="3" xfId="0" applyFill="1" applyBorder="1"/>
    <xf numFmtId="0" fontId="0" fillId="0" borderId="3" xfId="0" applyBorder="1" applyAlignment="1">
      <alignment horizontal="center" vertical="center"/>
    </xf>
    <xf numFmtId="49" fontId="3" fillId="0" borderId="12" xfId="0" applyNumberFormat="1" applyFont="1" applyBorder="1" applyAlignment="1" applyProtection="1">
      <alignment vertical="center"/>
      <protection locked="0"/>
    </xf>
    <xf numFmtId="0" fontId="3" fillId="0" borderId="9" xfId="0" applyFont="1" applyBorder="1" applyAlignment="1">
      <alignment vertical="center"/>
    </xf>
    <xf numFmtId="0" fontId="3" fillId="0" borderId="13" xfId="0" applyFont="1" applyBorder="1" applyAlignment="1">
      <alignment vertical="center"/>
    </xf>
    <xf numFmtId="0" fontId="15" fillId="2" borderId="11" xfId="0" applyFont="1" applyFill="1" applyBorder="1" applyAlignment="1">
      <alignment horizontal="center" vertical="center"/>
    </xf>
    <xf numFmtId="0" fontId="0" fillId="0" borderId="6" xfId="0" applyBorder="1"/>
    <xf numFmtId="0" fontId="0" fillId="0" borderId="7" xfId="0" applyBorder="1"/>
    <xf numFmtId="0" fontId="0" fillId="17" borderId="1" xfId="0" applyFill="1" applyBorder="1" applyAlignment="1">
      <alignment horizontal="center" vertical="center"/>
    </xf>
    <xf numFmtId="0" fontId="6" fillId="17" borderId="1" xfId="0" applyFont="1" applyFill="1" applyBorder="1" applyAlignment="1">
      <alignment horizontal="center" vertical="center"/>
    </xf>
    <xf numFmtId="0" fontId="6" fillId="18" borderId="1" xfId="0" applyFont="1" applyFill="1" applyBorder="1" applyAlignment="1">
      <alignment horizontal="center" vertical="center"/>
    </xf>
    <xf numFmtId="0" fontId="6" fillId="13" borderId="1" xfId="0" applyFont="1" applyFill="1" applyBorder="1" applyAlignment="1">
      <alignment horizontal="center" vertical="center"/>
    </xf>
    <xf numFmtId="0" fontId="0" fillId="19" borderId="1" xfId="0" applyFill="1" applyBorder="1" applyAlignment="1">
      <alignment horizontal="center" vertical="center"/>
    </xf>
    <xf numFmtId="0" fontId="6" fillId="16" borderId="1" xfId="0" applyFont="1" applyFill="1" applyBorder="1" applyAlignment="1">
      <alignment horizontal="center" vertical="center"/>
    </xf>
    <xf numFmtId="0" fontId="6" fillId="10" borderId="1" xfId="0" applyFont="1" applyFill="1" applyBorder="1" applyAlignment="1">
      <alignment horizontal="center" vertical="center"/>
    </xf>
    <xf numFmtId="0" fontId="0" fillId="10" borderId="1" xfId="0" applyFill="1" applyBorder="1" applyAlignment="1">
      <alignment horizontal="center" vertical="center"/>
    </xf>
    <xf numFmtId="0" fontId="0" fillId="15" borderId="1" xfId="0" applyFill="1" applyBorder="1" applyAlignment="1">
      <alignment horizontal="center" vertical="center"/>
    </xf>
    <xf numFmtId="0" fontId="6" fillId="15" borderId="1" xfId="0" applyFont="1" applyFill="1" applyBorder="1" applyAlignment="1">
      <alignment horizontal="center" vertical="center"/>
    </xf>
    <xf numFmtId="0" fontId="0" fillId="14" borderId="1" xfId="0" applyFill="1" applyBorder="1" applyAlignment="1">
      <alignment horizontal="center" vertical="center"/>
    </xf>
    <xf numFmtId="0" fontId="0" fillId="18" borderId="1" xfId="0" applyFill="1" applyBorder="1" applyAlignment="1">
      <alignment horizontal="center" vertical="center"/>
    </xf>
    <xf numFmtId="0" fontId="6" fillId="14" borderId="1" xfId="0" applyFont="1" applyFill="1" applyBorder="1" applyAlignment="1">
      <alignment horizontal="center" vertical="center"/>
    </xf>
    <xf numFmtId="0" fontId="6" fillId="20" borderId="1" xfId="0" applyFont="1" applyFill="1" applyBorder="1" applyAlignment="1">
      <alignment horizontal="center" vertical="center"/>
    </xf>
    <xf numFmtId="0" fontId="0" fillId="20" borderId="1" xfId="0" applyFill="1" applyBorder="1" applyAlignment="1">
      <alignment horizontal="center" vertical="center"/>
    </xf>
    <xf numFmtId="0" fontId="0" fillId="17" borderId="3" xfId="0" applyFill="1" applyBorder="1" applyAlignment="1">
      <alignment horizontal="center" vertical="center"/>
    </xf>
    <xf numFmtId="0" fontId="0" fillId="10" borderId="15" xfId="0" applyFill="1" applyBorder="1" applyAlignment="1">
      <alignment horizontal="center" vertical="center"/>
    </xf>
    <xf numFmtId="0" fontId="0" fillId="15" borderId="15" xfId="0" applyFill="1" applyBorder="1" applyAlignment="1">
      <alignment horizontal="center" vertical="center"/>
    </xf>
    <xf numFmtId="0" fontId="0" fillId="21" borderId="1" xfId="0" applyFill="1" applyBorder="1" applyAlignment="1">
      <alignment horizontal="center" vertical="center"/>
    </xf>
    <xf numFmtId="0" fontId="6" fillId="22" borderId="1" xfId="0" applyFont="1" applyFill="1" applyBorder="1" applyAlignment="1">
      <alignment horizontal="center" vertical="center"/>
    </xf>
    <xf numFmtId="0" fontId="0" fillId="22" borderId="1" xfId="0" applyFill="1" applyBorder="1" applyAlignment="1">
      <alignment horizontal="center" vertical="center"/>
    </xf>
    <xf numFmtId="0" fontId="0" fillId="0" borderId="5" xfId="0" applyBorder="1"/>
    <xf numFmtId="0" fontId="2" fillId="5" borderId="9" xfId="0" applyFont="1" applyFill="1" applyBorder="1" applyProtection="1">
      <protection hidden="1"/>
    </xf>
    <xf numFmtId="0" fontId="2" fillId="5" borderId="13" xfId="0" applyFont="1" applyFill="1" applyBorder="1" applyProtection="1">
      <protection hidden="1"/>
    </xf>
    <xf numFmtId="0" fontId="2" fillId="5" borderId="2" xfId="0" applyFont="1" applyFill="1" applyBorder="1" applyProtection="1">
      <protection hidden="1"/>
    </xf>
    <xf numFmtId="0" fontId="0" fillId="23" borderId="0" xfId="0" applyFill="1" applyAlignment="1">
      <alignment horizontal="center"/>
    </xf>
    <xf numFmtId="0" fontId="0" fillId="10" borderId="0" xfId="0" applyFill="1" applyAlignment="1">
      <alignment horizontal="center" vertical="center"/>
    </xf>
    <xf numFmtId="0" fontId="0" fillId="16" borderId="1" xfId="0" applyFill="1" applyBorder="1" applyAlignment="1">
      <alignment horizontal="center" vertical="center"/>
    </xf>
    <xf numFmtId="0" fontId="3" fillId="8" borderId="1" xfId="0" applyFont="1" applyFill="1" applyBorder="1" applyAlignment="1" applyProtection="1">
      <alignment horizontal="center" vertical="center" shrinkToFit="1"/>
      <protection locked="0"/>
    </xf>
    <xf numFmtId="164" fontId="26" fillId="0" borderId="4" xfId="0" applyNumberFormat="1" applyFont="1" applyBorder="1" applyProtection="1">
      <protection hidden="1"/>
    </xf>
    <xf numFmtId="2" fontId="26" fillId="0" borderId="4" xfId="0" applyNumberFormat="1" applyFont="1" applyBorder="1" applyProtection="1">
      <protection hidden="1"/>
    </xf>
    <xf numFmtId="0" fontId="0" fillId="0" borderId="7" xfId="0" applyBorder="1" applyAlignment="1">
      <alignment horizontal="center"/>
    </xf>
    <xf numFmtId="14" fontId="26" fillId="0" borderId="0" xfId="0" applyNumberFormat="1" applyFont="1" applyProtection="1">
      <protection hidden="1"/>
    </xf>
    <xf numFmtId="0" fontId="15" fillId="2" borderId="14" xfId="0" applyFont="1" applyFill="1" applyBorder="1" applyAlignment="1">
      <alignment vertical="center"/>
    </xf>
    <xf numFmtId="0" fontId="2" fillId="2" borderId="13" xfId="0" applyFont="1" applyFill="1" applyBorder="1" applyAlignment="1">
      <alignment vertical="center"/>
    </xf>
    <xf numFmtId="0" fontId="2" fillId="2" borderId="9" xfId="0" applyFont="1" applyFill="1" applyBorder="1" applyAlignment="1">
      <alignment horizontal="center" vertical="center"/>
    </xf>
    <xf numFmtId="0" fontId="15" fillId="2" borderId="9" xfId="0" applyFont="1" applyFill="1" applyBorder="1" applyAlignment="1">
      <alignment horizontal="center" vertical="center" shrinkToFit="1"/>
    </xf>
    <xf numFmtId="173" fontId="0" fillId="8" borderId="1" xfId="0" applyNumberFormat="1" applyFill="1" applyBorder="1" applyAlignment="1" applyProtection="1">
      <alignment horizontal="center" vertical="center"/>
      <protection locked="0"/>
    </xf>
    <xf numFmtId="173" fontId="3" fillId="0" borderId="9" xfId="0" applyNumberFormat="1" applyFont="1" applyBorder="1" applyAlignment="1">
      <alignment horizontal="center" vertical="center"/>
    </xf>
    <xf numFmtId="0" fontId="3" fillId="8" borderId="10" xfId="0" applyFont="1" applyFill="1" applyBorder="1" applyAlignment="1" applyProtection="1">
      <alignment vertical="center"/>
      <protection locked="0"/>
    </xf>
    <xf numFmtId="0" fontId="3" fillId="8" borderId="11" xfId="0" applyFont="1" applyFill="1" applyBorder="1" applyAlignment="1" applyProtection="1">
      <alignment vertical="center"/>
      <protection locked="0"/>
    </xf>
    <xf numFmtId="0" fontId="0" fillId="0" borderId="0" xfId="0" applyAlignment="1" applyProtection="1">
      <alignment horizontal="center"/>
      <protection locked="0" hidden="1"/>
    </xf>
    <xf numFmtId="0" fontId="3" fillId="0" borderId="11" xfId="0" applyFont="1" applyBorder="1" applyAlignment="1" applyProtection="1">
      <alignment vertical="center"/>
      <protection locked="0"/>
    </xf>
    <xf numFmtId="0" fontId="3" fillId="0" borderId="0" xfId="0" applyFont="1" applyAlignment="1" applyProtection="1">
      <alignment vertical="center"/>
      <protection locked="0"/>
    </xf>
    <xf numFmtId="0" fontId="31" fillId="0" borderId="0" xfId="0" applyFont="1"/>
    <xf numFmtId="0" fontId="31" fillId="2" borderId="0" xfId="0" applyFont="1" applyFill="1"/>
    <xf numFmtId="0" fontId="31" fillId="0" borderId="0" xfId="0" applyFont="1" applyProtection="1">
      <protection locked="0" hidden="1"/>
    </xf>
    <xf numFmtId="0" fontId="0" fillId="24" borderId="0" xfId="0" applyFill="1" applyProtection="1">
      <protection locked="0" hidden="1"/>
    </xf>
    <xf numFmtId="0" fontId="3" fillId="0" borderId="6" xfId="0" applyFont="1" applyBorder="1" applyAlignment="1">
      <alignment horizontal="center" vertical="center"/>
    </xf>
    <xf numFmtId="0" fontId="34" fillId="2" borderId="1" xfId="0" applyFont="1" applyFill="1" applyBorder="1" applyAlignment="1">
      <alignment horizontal="center" shrinkToFit="1"/>
    </xf>
    <xf numFmtId="14" fontId="0" fillId="0" borderId="0" xfId="0" applyNumberFormat="1" applyProtection="1">
      <protection locked="0" hidden="1"/>
    </xf>
    <xf numFmtId="0" fontId="15" fillId="2" borderId="1" xfId="0" applyFont="1" applyFill="1" applyBorder="1" applyAlignment="1">
      <alignment horizontal="center" vertical="center"/>
    </xf>
    <xf numFmtId="9" fontId="0" fillId="0" borderId="0" xfId="0" applyNumberFormat="1" applyProtection="1">
      <protection locked="0" hidden="1"/>
    </xf>
    <xf numFmtId="0" fontId="31" fillId="25" borderId="0" xfId="0" applyFont="1" applyFill="1"/>
    <xf numFmtId="0" fontId="31" fillId="24" borderId="0" xfId="0" applyFont="1" applyFill="1" applyProtection="1">
      <protection locked="0" hidden="1"/>
    </xf>
    <xf numFmtId="14" fontId="26" fillId="24" borderId="1" xfId="0" applyNumberFormat="1" applyFont="1" applyFill="1" applyBorder="1" applyAlignment="1" applyProtection="1">
      <alignment horizontal="center" vertical="center"/>
      <protection hidden="1"/>
    </xf>
    <xf numFmtId="0" fontId="26" fillId="24" borderId="0" xfId="0" applyFont="1" applyFill="1" applyProtection="1">
      <protection locked="0" hidden="1"/>
    </xf>
    <xf numFmtId="0" fontId="26" fillId="24" borderId="0" xfId="0" applyFont="1" applyFill="1"/>
    <xf numFmtId="0" fontId="26" fillId="12" borderId="0" xfId="0" applyFont="1" applyFill="1"/>
    <xf numFmtId="0" fontId="37" fillId="24" borderId="4" xfId="0" applyFont="1" applyFill="1" applyBorder="1" applyProtection="1">
      <protection locked="0" hidden="1"/>
    </xf>
    <xf numFmtId="0" fontId="37" fillId="24" borderId="0" xfId="0" applyFont="1" applyFill="1" applyProtection="1">
      <protection locked="0" hidden="1"/>
    </xf>
    <xf numFmtId="0" fontId="37" fillId="24" borderId="5" xfId="0" applyFont="1" applyFill="1" applyBorder="1" applyProtection="1">
      <protection locked="0" hidden="1"/>
    </xf>
    <xf numFmtId="0" fontId="26" fillId="24" borderId="4" xfId="0" applyFont="1" applyFill="1" applyBorder="1" applyProtection="1">
      <protection locked="0" hidden="1"/>
    </xf>
    <xf numFmtId="0" fontId="26" fillId="24" borderId="5" xfId="0" applyFont="1" applyFill="1" applyBorder="1" applyProtection="1">
      <protection locked="0" hidden="1"/>
    </xf>
    <xf numFmtId="0" fontId="26" fillId="24" borderId="6" xfId="0" applyFont="1" applyFill="1" applyBorder="1" applyProtection="1">
      <protection locked="0" hidden="1"/>
    </xf>
    <xf numFmtId="0" fontId="26" fillId="24" borderId="7" xfId="0" applyFont="1" applyFill="1" applyBorder="1" applyProtection="1">
      <protection locked="0" hidden="1"/>
    </xf>
    <xf numFmtId="0" fontId="26" fillId="24" borderId="8" xfId="0" applyFont="1" applyFill="1" applyBorder="1" applyProtection="1">
      <protection locked="0" hidden="1"/>
    </xf>
    <xf numFmtId="0" fontId="37" fillId="24" borderId="10" xfId="0" applyFont="1" applyFill="1" applyBorder="1" applyProtection="1">
      <protection locked="0" hidden="1"/>
    </xf>
    <xf numFmtId="0" fontId="37" fillId="24" borderId="11" xfId="0" applyFont="1" applyFill="1" applyBorder="1" applyProtection="1">
      <protection locked="0" hidden="1"/>
    </xf>
    <xf numFmtId="0" fontId="37" fillId="24" borderId="12" xfId="0" applyFont="1" applyFill="1" applyBorder="1" applyProtection="1">
      <protection locked="0" hidden="1"/>
    </xf>
    <xf numFmtId="0" fontId="37" fillId="24" borderId="0" xfId="0" applyFont="1" applyFill="1"/>
    <xf numFmtId="0" fontId="8" fillId="24" borderId="0" xfId="0" applyFont="1" applyFill="1" applyProtection="1">
      <protection locked="0" hidden="1"/>
    </xf>
    <xf numFmtId="172" fontId="0" fillId="0" borderId="0" xfId="0" applyNumberFormat="1" applyProtection="1">
      <protection locked="0" hidden="1"/>
    </xf>
    <xf numFmtId="2" fontId="0" fillId="0" borderId="0" xfId="0" applyNumberFormat="1" applyProtection="1">
      <protection locked="0" hidden="1"/>
    </xf>
    <xf numFmtId="174" fontId="0" fillId="0" borderId="0" xfId="0" applyNumberFormat="1"/>
    <xf numFmtId="164" fontId="40" fillId="0" borderId="0" xfId="0" applyNumberFormat="1" applyFont="1" applyAlignment="1" applyProtection="1">
      <alignment horizontal="center"/>
      <protection hidden="1"/>
    </xf>
    <xf numFmtId="0" fontId="8" fillId="24" borderId="0" xfId="0" applyFont="1" applyFill="1"/>
    <xf numFmtId="0" fontId="8" fillId="12" borderId="0" xfId="0" applyFont="1" applyFill="1"/>
    <xf numFmtId="0" fontId="8" fillId="2" borderId="0" xfId="0" applyFont="1" applyFill="1"/>
    <xf numFmtId="0" fontId="6" fillId="24" borderId="10" xfId="0" applyFont="1" applyFill="1" applyBorder="1" applyAlignment="1" applyProtection="1">
      <alignment horizontal="center"/>
      <protection locked="0" hidden="1"/>
    </xf>
    <xf numFmtId="0" fontId="6" fillId="24" borderId="11" xfId="0" applyFont="1" applyFill="1" applyBorder="1" applyAlignment="1" applyProtection="1">
      <alignment horizontal="center"/>
      <protection locked="0" hidden="1"/>
    </xf>
    <xf numFmtId="0" fontId="6" fillId="24" borderId="12" xfId="0" applyFont="1" applyFill="1" applyBorder="1" applyAlignment="1" applyProtection="1">
      <alignment horizontal="center"/>
      <protection locked="0" hidden="1"/>
    </xf>
    <xf numFmtId="0" fontId="6" fillId="24" borderId="10" xfId="0" applyFont="1" applyFill="1" applyBorder="1" applyProtection="1">
      <protection locked="0" hidden="1"/>
    </xf>
    <xf numFmtId="0" fontId="6" fillId="24" borderId="11" xfId="0" applyFont="1" applyFill="1" applyBorder="1" applyProtection="1">
      <protection locked="0" hidden="1"/>
    </xf>
    <xf numFmtId="0" fontId="6" fillId="24" borderId="12" xfId="0" applyFont="1" applyFill="1" applyBorder="1" applyProtection="1">
      <protection locked="0" hidden="1"/>
    </xf>
    <xf numFmtId="0" fontId="6" fillId="24" borderId="4" xfId="0" applyFont="1" applyFill="1" applyBorder="1" applyProtection="1">
      <protection locked="0" hidden="1"/>
    </xf>
    <xf numFmtId="0" fontId="6" fillId="24" borderId="0" xfId="0" applyFont="1" applyFill="1" applyProtection="1">
      <protection locked="0" hidden="1"/>
    </xf>
    <xf numFmtId="0" fontId="6" fillId="24" borderId="5" xfId="0" applyFont="1" applyFill="1" applyBorder="1" applyProtection="1">
      <protection locked="0" hidden="1"/>
    </xf>
    <xf numFmtId="0" fontId="6" fillId="24" borderId="0" xfId="0" applyFont="1" applyFill="1"/>
    <xf numFmtId="0" fontId="8" fillId="24" borderId="0" xfId="0" applyFont="1" applyFill="1" applyAlignment="1" applyProtection="1">
      <alignment shrinkToFit="1"/>
      <protection locked="0" hidden="1"/>
    </xf>
    <xf numFmtId="0" fontId="8" fillId="24" borderId="0" xfId="0" applyFont="1" applyFill="1" applyAlignment="1">
      <alignment horizontal="center"/>
    </xf>
    <xf numFmtId="0" fontId="8" fillId="24" borderId="0" xfId="0" applyFont="1" applyFill="1" applyAlignment="1">
      <alignment horizontal="left" vertical="top"/>
    </xf>
    <xf numFmtId="0" fontId="8" fillId="6" borderId="0" xfId="0" applyFont="1" applyFill="1"/>
    <xf numFmtId="0" fontId="8" fillId="25" borderId="0" xfId="0" applyFont="1" applyFill="1"/>
    <xf numFmtId="0" fontId="0" fillId="24" borderId="0" xfId="0" applyFill="1"/>
    <xf numFmtId="0" fontId="0" fillId="24" borderId="0" xfId="0" applyFill="1" applyAlignment="1">
      <alignment horizontal="center"/>
    </xf>
    <xf numFmtId="0" fontId="0" fillId="24" borderId="0" xfId="0" applyFill="1" applyAlignment="1">
      <alignment horizontal="left" vertical="top"/>
    </xf>
    <xf numFmtId="0" fontId="0" fillId="24" borderId="0" xfId="0" applyFill="1" applyAlignment="1">
      <alignment horizontal="center" vertical="center"/>
    </xf>
    <xf numFmtId="0" fontId="29" fillId="2" borderId="10" xfId="0" applyFont="1" applyFill="1" applyBorder="1" applyAlignment="1">
      <alignment vertical="center"/>
    </xf>
    <xf numFmtId="0" fontId="3" fillId="8" borderId="1" xfId="0" applyFont="1" applyFill="1" applyBorder="1" applyAlignment="1" applyProtection="1">
      <alignment vertical="center"/>
      <protection locked="0"/>
    </xf>
    <xf numFmtId="0" fontId="8" fillId="24" borderId="0" xfId="0" applyFont="1" applyFill="1" applyAlignment="1" applyProtection="1">
      <alignment horizontal="center"/>
      <protection locked="0" hidden="1"/>
    </xf>
    <xf numFmtId="0" fontId="37" fillId="24" borderId="10" xfId="0" applyFont="1" applyFill="1" applyBorder="1" applyAlignment="1" applyProtection="1">
      <alignment horizontal="center"/>
      <protection locked="0" hidden="1"/>
    </xf>
    <xf numFmtId="0" fontId="37" fillId="24" borderId="11" xfId="0" applyFont="1" applyFill="1" applyBorder="1" applyAlignment="1" applyProtection="1">
      <alignment horizontal="center"/>
      <protection locked="0" hidden="1"/>
    </xf>
    <xf numFmtId="0" fontId="37" fillId="24" borderId="12" xfId="0" applyFont="1" applyFill="1" applyBorder="1" applyAlignment="1" applyProtection="1">
      <alignment horizontal="center"/>
      <protection locked="0" hidden="1"/>
    </xf>
    <xf numFmtId="0" fontId="36" fillId="0" borderId="11" xfId="0" applyFont="1" applyBorder="1" applyAlignment="1">
      <alignment horizontal="center" vertical="center" wrapText="1"/>
    </xf>
    <xf numFmtId="0" fontId="36" fillId="0" borderId="0" xfId="0" applyFont="1" applyAlignment="1">
      <alignment horizontal="center" vertical="center" wrapText="1"/>
    </xf>
    <xf numFmtId="168" fontId="3" fillId="8" borderId="9" xfId="0" applyNumberFormat="1" applyFont="1" applyFill="1" applyBorder="1" applyAlignment="1" applyProtection="1">
      <alignment horizontal="center" vertical="center"/>
      <protection locked="0"/>
    </xf>
    <xf numFmtId="168" fontId="3" fillId="8" borderId="13" xfId="0" applyNumberFormat="1" applyFont="1" applyFill="1" applyBorder="1" applyAlignment="1" applyProtection="1">
      <alignment horizontal="center" vertical="center"/>
      <protection locked="0"/>
    </xf>
    <xf numFmtId="0" fontId="35" fillId="0" borderId="7" xfId="0" applyFont="1" applyBorder="1" applyAlignment="1">
      <alignment horizontal="center" vertical="top" wrapText="1"/>
    </xf>
    <xf numFmtId="3" fontId="3" fillId="8" borderId="9" xfId="0" applyNumberFormat="1" applyFont="1" applyFill="1" applyBorder="1" applyAlignment="1" applyProtection="1">
      <alignment horizontal="center" vertical="center"/>
      <protection locked="0"/>
    </xf>
    <xf numFmtId="3" fontId="3" fillId="8" borderId="13" xfId="0" applyNumberFormat="1" applyFont="1" applyFill="1" applyBorder="1" applyAlignment="1" applyProtection="1">
      <alignment horizontal="center" vertical="center"/>
      <protection locked="0"/>
    </xf>
    <xf numFmtId="0" fontId="8" fillId="24" borderId="0" xfId="0" applyFont="1" applyFill="1" applyAlignment="1">
      <alignment horizontal="center"/>
    </xf>
    <xf numFmtId="171" fontId="3" fillId="0" borderId="10" xfId="0" applyNumberFormat="1" applyFont="1" applyBorder="1" applyAlignment="1">
      <alignment horizontal="center" vertical="center" shrinkToFit="1"/>
    </xf>
    <xf numFmtId="171" fontId="3" fillId="0" borderId="12" xfId="0" applyNumberFormat="1" applyFont="1" applyBorder="1" applyAlignment="1">
      <alignment horizontal="center" vertical="center" shrinkToFit="1"/>
    </xf>
    <xf numFmtId="171" fontId="3" fillId="0" borderId="6" xfId="0" applyNumberFormat="1" applyFont="1" applyBorder="1" applyAlignment="1">
      <alignment horizontal="center" vertical="center" shrinkToFit="1"/>
    </xf>
    <xf numFmtId="171" fontId="3" fillId="0" borderId="8" xfId="0" applyNumberFormat="1" applyFont="1" applyBorder="1" applyAlignment="1">
      <alignment horizontal="center" vertical="center" shrinkToFit="1"/>
    </xf>
    <xf numFmtId="3" fontId="3" fillId="8" borderId="2" xfId="0" applyNumberFormat="1" applyFont="1" applyFill="1" applyBorder="1" applyAlignment="1" applyProtection="1">
      <alignment horizontal="center" vertical="center"/>
      <protection locked="0"/>
    </xf>
    <xf numFmtId="3" fontId="3" fillId="0" borderId="9" xfId="0" applyNumberFormat="1" applyFont="1" applyBorder="1" applyAlignment="1">
      <alignment horizontal="center" vertical="center"/>
    </xf>
    <xf numFmtId="3" fontId="3" fillId="0" borderId="13" xfId="0" applyNumberFormat="1" applyFont="1" applyBorder="1" applyAlignment="1">
      <alignment horizontal="center" vertical="center"/>
    </xf>
    <xf numFmtId="3" fontId="3" fillId="0" borderId="2" xfId="0" applyNumberFormat="1"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15" fillId="2" borderId="0" xfId="0" applyFont="1" applyFill="1" applyAlignment="1">
      <alignment horizontal="center" vertical="center"/>
    </xf>
    <xf numFmtId="0" fontId="3" fillId="8" borderId="1" xfId="0" applyFont="1" applyFill="1" applyBorder="1" applyAlignment="1" applyProtection="1">
      <alignment horizontal="center" vertical="center"/>
      <protection locked="0"/>
    </xf>
    <xf numFmtId="0" fontId="2" fillId="2" borderId="1" xfId="0" applyFont="1" applyFill="1" applyBorder="1" applyAlignment="1">
      <alignment horizontal="center" vertical="center"/>
    </xf>
    <xf numFmtId="0" fontId="2" fillId="2" borderId="14"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2" xfId="0" applyFont="1" applyFill="1" applyBorder="1" applyAlignment="1">
      <alignment horizontal="center" vertical="center"/>
    </xf>
    <xf numFmtId="166" fontId="3" fillId="8" borderId="13" xfId="0" applyNumberFormat="1" applyFont="1" applyFill="1" applyBorder="1" applyAlignment="1" applyProtection="1">
      <alignment horizontal="center" vertical="center"/>
      <protection locked="0"/>
    </xf>
    <xf numFmtId="166" fontId="6" fillId="0" borderId="9" xfId="0" applyNumberFormat="1" applyFont="1" applyBorder="1" applyAlignment="1">
      <alignment horizontal="center" vertical="center" shrinkToFit="1"/>
    </xf>
    <xf numFmtId="166" fontId="6" fillId="0" borderId="2" xfId="0" applyNumberFormat="1" applyFont="1" applyBorder="1" applyAlignment="1">
      <alignment horizontal="center" vertical="center" shrinkToFit="1"/>
    </xf>
    <xf numFmtId="0" fontId="0" fillId="0" borderId="10"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2" fillId="2" borderId="13" xfId="0" applyFont="1" applyFill="1" applyBorder="1" applyAlignment="1">
      <alignment horizontal="center"/>
    </xf>
    <xf numFmtId="0" fontId="2" fillId="2" borderId="2" xfId="0" applyFont="1" applyFill="1" applyBorder="1" applyAlignment="1">
      <alignment horizontal="center"/>
    </xf>
    <xf numFmtId="0" fontId="2" fillId="2" borderId="9" xfId="0" applyFont="1" applyFill="1" applyBorder="1" applyAlignment="1">
      <alignment horizontal="center" vertical="center"/>
    </xf>
    <xf numFmtId="0" fontId="2" fillId="2" borderId="2" xfId="0" applyFont="1" applyFill="1" applyBorder="1" applyAlignment="1">
      <alignment horizontal="center" vertical="center"/>
    </xf>
    <xf numFmtId="167" fontId="2" fillId="2" borderId="9" xfId="0" applyNumberFormat="1" applyFont="1" applyFill="1" applyBorder="1" applyAlignment="1">
      <alignment horizontal="center" vertical="center"/>
    </xf>
    <xf numFmtId="167" fontId="2" fillId="2" borderId="2" xfId="0" applyNumberFormat="1" applyFont="1" applyFill="1" applyBorder="1" applyAlignment="1">
      <alignment horizontal="center" vertical="center"/>
    </xf>
    <xf numFmtId="167" fontId="24" fillId="2" borderId="9" xfId="0" applyNumberFormat="1" applyFont="1" applyFill="1" applyBorder="1" applyAlignment="1">
      <alignment horizontal="center" vertical="center"/>
    </xf>
    <xf numFmtId="167" fontId="24" fillId="2" borderId="2" xfId="0" applyNumberFormat="1" applyFont="1" applyFill="1" applyBorder="1" applyAlignment="1">
      <alignment horizontal="center" vertical="center"/>
    </xf>
    <xf numFmtId="0" fontId="24" fillId="2" borderId="9" xfId="0" applyFont="1" applyFill="1" applyBorder="1" applyAlignment="1">
      <alignment horizontal="center" vertical="center"/>
    </xf>
    <xf numFmtId="0" fontId="24" fillId="2" borderId="2" xfId="0" applyFont="1" applyFill="1" applyBorder="1" applyAlignment="1">
      <alignment horizontal="center" vertical="center"/>
    </xf>
    <xf numFmtId="0" fontId="6" fillId="8" borderId="14" xfId="0" applyFont="1" applyFill="1" applyBorder="1" applyAlignment="1" applyProtection="1">
      <alignment horizontal="center" vertical="center"/>
      <protection locked="0"/>
    </xf>
    <xf numFmtId="0" fontId="15" fillId="2" borderId="6" xfId="0" applyFont="1" applyFill="1" applyBorder="1" applyAlignment="1">
      <alignment horizontal="center" vertical="center"/>
    </xf>
    <xf numFmtId="0" fontId="15" fillId="2" borderId="8" xfId="0" applyFont="1" applyFill="1" applyBorder="1" applyAlignment="1">
      <alignment horizontal="center" vertical="center"/>
    </xf>
    <xf numFmtId="0" fontId="3" fillId="8" borderId="9" xfId="0" applyFont="1" applyFill="1" applyBorder="1" applyAlignment="1" applyProtection="1">
      <alignment horizontal="center" vertical="center" shrinkToFit="1"/>
      <protection locked="0"/>
    </xf>
    <xf numFmtId="0" fontId="3" fillId="8" borderId="2" xfId="0" applyFont="1" applyFill="1" applyBorder="1" applyAlignment="1" applyProtection="1">
      <alignment horizontal="center" vertical="center" shrinkToFit="1"/>
      <protection locked="0"/>
    </xf>
    <xf numFmtId="0" fontId="3" fillId="8" borderId="9" xfId="0" applyFont="1" applyFill="1" applyBorder="1" applyAlignment="1" applyProtection="1">
      <alignment horizontal="left" vertical="center" shrinkToFit="1"/>
      <protection locked="0"/>
    </xf>
    <xf numFmtId="0" fontId="3" fillId="8" borderId="13" xfId="0" applyFont="1" applyFill="1" applyBorder="1" applyAlignment="1" applyProtection="1">
      <alignment horizontal="left" vertical="center" shrinkToFit="1"/>
      <protection locked="0"/>
    </xf>
    <xf numFmtId="0" fontId="3" fillId="8" borderId="2" xfId="0" applyFont="1" applyFill="1" applyBorder="1" applyAlignment="1" applyProtection="1">
      <alignment horizontal="left" vertical="center" shrinkToFit="1"/>
      <protection locked="0"/>
    </xf>
    <xf numFmtId="168" fontId="3" fillId="8" borderId="1" xfId="0" applyNumberFormat="1" applyFont="1" applyFill="1" applyBorder="1" applyAlignment="1" applyProtection="1">
      <alignment horizontal="center" vertical="center"/>
      <protection locked="0"/>
    </xf>
    <xf numFmtId="0" fontId="22" fillId="8" borderId="11" xfId="0" applyFont="1" applyFill="1" applyBorder="1" applyAlignment="1" applyProtection="1">
      <alignment horizontal="center" vertical="center" shrinkToFit="1"/>
      <protection locked="0"/>
    </xf>
    <xf numFmtId="0" fontId="22" fillId="8" borderId="12" xfId="0" applyFont="1" applyFill="1" applyBorder="1" applyAlignment="1" applyProtection="1">
      <alignment horizontal="center" vertical="center" shrinkToFit="1"/>
      <protection locked="0"/>
    </xf>
    <xf numFmtId="0" fontId="3" fillId="8" borderId="6" xfId="0" applyFont="1" applyFill="1" applyBorder="1" applyAlignment="1" applyProtection="1">
      <alignment horizontal="center" vertical="center" shrinkToFit="1"/>
      <protection locked="0"/>
    </xf>
    <xf numFmtId="0" fontId="3" fillId="8" borderId="7" xfId="0" applyFont="1" applyFill="1" applyBorder="1" applyAlignment="1" applyProtection="1">
      <alignment horizontal="center" vertical="center" shrinkToFit="1"/>
      <protection locked="0"/>
    </xf>
    <xf numFmtId="0" fontId="3" fillId="8" borderId="8" xfId="0" applyFont="1" applyFill="1" applyBorder="1" applyAlignment="1" applyProtection="1">
      <alignment horizontal="center" vertical="center" shrinkToFit="1"/>
      <protection locked="0"/>
    </xf>
    <xf numFmtId="0" fontId="24" fillId="2" borderId="6" xfId="0" applyFont="1" applyFill="1" applyBorder="1" applyAlignment="1">
      <alignment horizontal="center" vertical="center"/>
    </xf>
    <xf numFmtId="0" fontId="24" fillId="2" borderId="7"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13" xfId="0" applyFont="1" applyFill="1" applyBorder="1" applyAlignment="1">
      <alignment horizontal="center" vertical="center"/>
    </xf>
    <xf numFmtId="0" fontId="3" fillId="8" borderId="2" xfId="0" applyFont="1" applyFill="1" applyBorder="1" applyAlignment="1">
      <alignment horizontal="center" vertical="center"/>
    </xf>
    <xf numFmtId="14" fontId="33" fillId="24" borderId="11" xfId="0" applyNumberFormat="1" applyFont="1" applyFill="1" applyBorder="1" applyAlignment="1">
      <alignment horizontal="center" wrapText="1"/>
    </xf>
    <xf numFmtId="0" fontId="33" fillId="24" borderId="12" xfId="0" applyFont="1" applyFill="1" applyBorder="1" applyAlignment="1">
      <alignment horizontal="center" wrapText="1"/>
    </xf>
    <xf numFmtId="0" fontId="33" fillId="24" borderId="0" xfId="0" applyFont="1" applyFill="1" applyAlignment="1">
      <alignment horizontal="center" wrapText="1"/>
    </xf>
    <xf numFmtId="0" fontId="33" fillId="24" borderId="5" xfId="0" applyFont="1" applyFill="1" applyBorder="1" applyAlignment="1">
      <alignment horizontal="center" wrapText="1"/>
    </xf>
    <xf numFmtId="0" fontId="33" fillId="24" borderId="7" xfId="0" applyFont="1" applyFill="1" applyBorder="1" applyAlignment="1">
      <alignment horizontal="center" wrapText="1"/>
    </xf>
    <xf numFmtId="0" fontId="33" fillId="24" borderId="8" xfId="0" applyFont="1" applyFill="1" applyBorder="1" applyAlignment="1">
      <alignment horizontal="center" wrapText="1"/>
    </xf>
    <xf numFmtId="0" fontId="2" fillId="2" borderId="13" xfId="0" applyFont="1" applyFill="1" applyBorder="1" applyAlignment="1">
      <alignment horizontal="center" vertical="center"/>
    </xf>
    <xf numFmtId="0" fontId="15" fillId="2" borderId="1" xfId="0" applyFont="1" applyFill="1" applyBorder="1" applyAlignment="1">
      <alignment horizontal="center" vertical="center"/>
    </xf>
    <xf numFmtId="172" fontId="3" fillId="0" borderId="11" xfId="0" applyNumberFormat="1" applyFont="1" applyBorder="1" applyAlignment="1">
      <alignment horizontal="center" vertical="center" shrinkToFit="1"/>
    </xf>
    <xf numFmtId="172" fontId="3" fillId="0" borderId="12" xfId="0" applyNumberFormat="1" applyFont="1" applyBorder="1" applyAlignment="1">
      <alignment horizontal="center" vertical="center" shrinkToFit="1"/>
    </xf>
    <xf numFmtId="172" fontId="3" fillId="0" borderId="7" xfId="0" applyNumberFormat="1" applyFont="1" applyBorder="1" applyAlignment="1">
      <alignment horizontal="center" vertical="center" shrinkToFit="1"/>
    </xf>
    <xf numFmtId="172" fontId="3" fillId="0" borderId="8" xfId="0" applyNumberFormat="1" applyFont="1" applyBorder="1" applyAlignment="1">
      <alignment horizontal="center" vertical="center" shrinkToFit="1"/>
    </xf>
    <xf numFmtId="0" fontId="15" fillId="2" borderId="11" xfId="0" applyFont="1" applyFill="1" applyBorder="1" applyAlignment="1">
      <alignment horizontal="center" vertical="center"/>
    </xf>
    <xf numFmtId="0" fontId="15" fillId="2" borderId="7" xfId="0" applyFont="1" applyFill="1" applyBorder="1" applyAlignment="1">
      <alignment horizontal="center" vertical="center"/>
    </xf>
    <xf numFmtId="0" fontId="3" fillId="8" borderId="9" xfId="0" applyFont="1" applyFill="1" applyBorder="1" applyAlignment="1" applyProtection="1">
      <alignment horizontal="center" vertical="center"/>
      <protection locked="0"/>
    </xf>
    <xf numFmtId="0" fontId="3" fillId="8" borderId="2" xfId="0" applyFont="1" applyFill="1" applyBorder="1" applyAlignment="1" applyProtection="1">
      <alignment horizontal="center" vertical="center"/>
      <protection locked="0"/>
    </xf>
    <xf numFmtId="0" fontId="3" fillId="8" borderId="13" xfId="0" applyFont="1" applyFill="1" applyBorder="1" applyAlignment="1" applyProtection="1">
      <alignment horizontal="center" vertical="center"/>
      <protection locked="0"/>
    </xf>
    <xf numFmtId="0" fontId="26" fillId="24" borderId="4" xfId="0" applyFont="1" applyFill="1" applyBorder="1" applyAlignment="1" applyProtection="1">
      <alignment horizontal="center"/>
      <protection locked="0" hidden="1"/>
    </xf>
    <xf numFmtId="0" fontId="26" fillId="24" borderId="0" xfId="0" applyFont="1" applyFill="1" applyAlignment="1" applyProtection="1">
      <alignment horizontal="center"/>
      <protection locked="0" hidden="1"/>
    </xf>
    <xf numFmtId="170" fontId="3" fillId="8" borderId="9" xfId="0" applyNumberFormat="1" applyFont="1" applyFill="1" applyBorder="1" applyAlignment="1" applyProtection="1">
      <alignment horizontal="center" vertical="center"/>
      <protection locked="0"/>
    </xf>
    <xf numFmtId="170" fontId="3" fillId="8" borderId="13" xfId="0" applyNumberFormat="1"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2" borderId="13"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15" fillId="2" borderId="14" xfId="0" applyFont="1" applyFill="1" applyBorder="1" applyAlignment="1">
      <alignment horizontal="center" vertical="center"/>
    </xf>
    <xf numFmtId="49" fontId="23" fillId="8" borderId="9" xfId="1" applyNumberFormat="1" applyFill="1" applyBorder="1" applyAlignment="1" applyProtection="1">
      <alignment horizontal="center"/>
      <protection locked="0"/>
    </xf>
    <xf numFmtId="49" fontId="23" fillId="8" borderId="13" xfId="1" applyNumberFormat="1" applyFill="1" applyBorder="1" applyAlignment="1" applyProtection="1">
      <alignment horizontal="center"/>
      <protection locked="0"/>
    </xf>
    <xf numFmtId="0" fontId="2" fillId="0" borderId="9" xfId="0" applyFont="1" applyBorder="1" applyAlignment="1">
      <alignment horizontal="center" vertical="center"/>
    </xf>
    <xf numFmtId="0" fontId="2" fillId="0" borderId="13" xfId="0" applyFont="1" applyBorder="1" applyAlignment="1">
      <alignment horizontal="center" vertical="center"/>
    </xf>
    <xf numFmtId="0" fontId="2" fillId="0" borderId="2" xfId="0" applyFont="1" applyBorder="1" applyAlignment="1">
      <alignment horizontal="center" vertical="center"/>
    </xf>
    <xf numFmtId="0" fontId="15" fillId="2" borderId="10" xfId="0" applyFont="1" applyFill="1" applyBorder="1" applyAlignment="1">
      <alignment horizontal="center" vertical="center"/>
    </xf>
    <xf numFmtId="0" fontId="15" fillId="2" borderId="12" xfId="0" applyFont="1" applyFill="1" applyBorder="1" applyAlignment="1">
      <alignment horizontal="center" vertical="center"/>
    </xf>
    <xf numFmtId="166" fontId="3" fillId="8" borderId="9" xfId="0" applyNumberFormat="1" applyFont="1" applyFill="1" applyBorder="1" applyAlignment="1">
      <alignment horizontal="center" vertical="center"/>
    </xf>
    <xf numFmtId="166" fontId="3" fillId="8" borderId="2" xfId="0" applyNumberFormat="1" applyFont="1" applyFill="1" applyBorder="1" applyAlignment="1">
      <alignment horizontal="center" vertical="center"/>
    </xf>
    <xf numFmtId="0" fontId="16" fillId="0" borderId="9" xfId="0" applyFont="1" applyBorder="1" applyAlignment="1">
      <alignment horizontal="center" vertical="center"/>
    </xf>
    <xf numFmtId="0" fontId="16" fillId="0" borderId="2" xfId="0" applyFont="1" applyBorder="1" applyAlignment="1">
      <alignment horizontal="center" vertical="center"/>
    </xf>
    <xf numFmtId="0" fontId="15" fillId="2" borderId="13" xfId="0" applyFont="1" applyFill="1" applyBorder="1" applyAlignment="1">
      <alignment horizontal="center" vertical="center"/>
    </xf>
    <xf numFmtId="0" fontId="17" fillId="8" borderId="10" xfId="0" applyFont="1" applyFill="1" applyBorder="1" applyAlignment="1" applyProtection="1">
      <alignment horizontal="center" vertical="center" shrinkToFit="1"/>
      <protection locked="0"/>
    </xf>
    <xf numFmtId="0" fontId="0" fillId="0" borderId="11" xfId="0" applyBorder="1" applyProtection="1">
      <protection locked="0"/>
    </xf>
    <xf numFmtId="0" fontId="0" fillId="0" borderId="12" xfId="0" applyBorder="1" applyProtection="1">
      <protection locked="0"/>
    </xf>
    <xf numFmtId="39" fontId="6" fillId="0" borderId="10" xfId="0" applyNumberFormat="1" applyFont="1" applyBorder="1" applyAlignment="1">
      <alignment horizontal="center" vertical="center" shrinkToFit="1"/>
    </xf>
    <xf numFmtId="39" fontId="6" fillId="0" borderId="12" xfId="0" applyNumberFormat="1" applyFont="1" applyBorder="1" applyAlignment="1">
      <alignment horizontal="center" vertical="center" shrinkToFit="1"/>
    </xf>
    <xf numFmtId="39" fontId="6" fillId="0" borderId="6" xfId="0" applyNumberFormat="1" applyFont="1" applyBorder="1" applyAlignment="1">
      <alignment horizontal="center" vertical="center" shrinkToFit="1"/>
    </xf>
    <xf numFmtId="39" fontId="6" fillId="0" borderId="8" xfId="0" applyNumberFormat="1" applyFont="1" applyBorder="1" applyAlignment="1">
      <alignment horizontal="center" vertical="center" shrinkToFit="1"/>
    </xf>
    <xf numFmtId="0" fontId="3" fillId="0" borderId="9" xfId="0" applyFont="1" applyBorder="1" applyAlignment="1">
      <alignment horizontal="center" vertical="center"/>
    </xf>
    <xf numFmtId="0" fontId="3" fillId="0" borderId="13" xfId="0" applyFont="1" applyBorder="1" applyAlignment="1">
      <alignment horizontal="center" vertical="center"/>
    </xf>
    <xf numFmtId="0" fontId="3" fillId="0" borderId="2" xfId="0" applyFont="1" applyBorder="1" applyAlignment="1">
      <alignment horizontal="center" vertical="center"/>
    </xf>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169" fontId="3" fillId="0" borderId="10" xfId="0" applyNumberFormat="1" applyFont="1" applyBorder="1" applyAlignment="1">
      <alignment horizontal="center" vertical="center" shrinkToFit="1"/>
    </xf>
    <xf numFmtId="169" fontId="3" fillId="0" borderId="11" xfId="0" applyNumberFormat="1" applyFont="1" applyBorder="1" applyAlignment="1">
      <alignment horizontal="center" vertical="center" shrinkToFit="1"/>
    </xf>
    <xf numFmtId="169" fontId="3" fillId="0" borderId="6" xfId="0" applyNumberFormat="1" applyFont="1" applyBorder="1" applyAlignment="1">
      <alignment horizontal="center" vertical="center" shrinkToFit="1"/>
    </xf>
    <xf numFmtId="169" fontId="3" fillId="0" borderId="7" xfId="0" applyNumberFormat="1" applyFont="1" applyBorder="1" applyAlignment="1">
      <alignment horizontal="center" vertical="center" shrinkToFit="1"/>
    </xf>
    <xf numFmtId="0" fontId="16" fillId="8" borderId="14" xfId="0" applyFont="1" applyFill="1" applyBorder="1" applyAlignment="1" applyProtection="1">
      <alignment horizontal="center" vertical="center" wrapText="1" shrinkToFit="1"/>
      <protection locked="0"/>
    </xf>
    <xf numFmtId="0" fontId="3" fillId="8" borderId="10" xfId="0" applyFont="1" applyFill="1" applyBorder="1" applyAlignment="1" applyProtection="1">
      <alignment horizontal="center" vertical="center"/>
      <protection locked="0"/>
    </xf>
    <xf numFmtId="0" fontId="3" fillId="8" borderId="12" xfId="0" applyFont="1" applyFill="1" applyBorder="1" applyAlignment="1" applyProtection="1">
      <alignment horizontal="center" vertical="center"/>
      <protection locked="0"/>
    </xf>
    <xf numFmtId="0" fontId="6" fillId="24" borderId="10" xfId="0" applyFont="1" applyFill="1" applyBorder="1" applyAlignment="1" applyProtection="1">
      <alignment horizontal="center"/>
      <protection locked="0" hidden="1"/>
    </xf>
    <xf numFmtId="0" fontId="6" fillId="24" borderId="11" xfId="0" applyFont="1" applyFill="1" applyBorder="1" applyAlignment="1" applyProtection="1">
      <alignment horizontal="center"/>
      <protection locked="0" hidden="1"/>
    </xf>
    <xf numFmtId="0" fontId="6" fillId="24" borderId="12" xfId="0" applyFont="1" applyFill="1" applyBorder="1" applyAlignment="1" applyProtection="1">
      <alignment horizontal="center"/>
      <protection locked="0" hidden="1"/>
    </xf>
    <xf numFmtId="166" fontId="3" fillId="11" borderId="9" xfId="0" applyNumberFormat="1" applyFont="1" applyFill="1" applyBorder="1" applyAlignment="1">
      <alignment horizontal="center" vertical="center"/>
    </xf>
    <xf numFmtId="166" fontId="3" fillId="11" borderId="13" xfId="0" applyNumberFormat="1" applyFont="1" applyFill="1" applyBorder="1" applyAlignment="1">
      <alignment horizontal="center" vertical="center"/>
    </xf>
    <xf numFmtId="0" fontId="17" fillId="8" borderId="11" xfId="0" applyFont="1" applyFill="1" applyBorder="1" applyAlignment="1" applyProtection="1">
      <alignment horizontal="center" vertical="center" shrinkToFit="1"/>
      <protection locked="0"/>
    </xf>
    <xf numFmtId="0" fontId="17" fillId="8" borderId="12" xfId="0" applyFont="1" applyFill="1" applyBorder="1" applyAlignment="1" applyProtection="1">
      <alignment horizontal="center" vertical="center" shrinkToFit="1"/>
      <protection locked="0"/>
    </xf>
    <xf numFmtId="0" fontId="17" fillId="8" borderId="7" xfId="0" applyFont="1" applyFill="1" applyBorder="1" applyAlignment="1" applyProtection="1">
      <alignment horizontal="center" vertical="center" shrinkToFit="1"/>
      <protection locked="0"/>
    </xf>
    <xf numFmtId="0" fontId="17" fillId="8" borderId="8" xfId="0" applyFont="1" applyFill="1" applyBorder="1" applyAlignment="1" applyProtection="1">
      <alignment horizontal="center" vertical="center" shrinkToFit="1"/>
      <protection locked="0"/>
    </xf>
    <xf numFmtId="0" fontId="17" fillId="8" borderId="6" xfId="0" applyFont="1" applyFill="1" applyBorder="1" applyAlignment="1" applyProtection="1">
      <alignment horizontal="center" vertical="center" shrinkToFit="1"/>
      <protection locked="0"/>
    </xf>
    <xf numFmtId="0" fontId="2" fillId="2" borderId="16" xfId="0" applyFont="1" applyFill="1" applyBorder="1" applyAlignment="1">
      <alignment horizontal="center" vertical="center" wrapText="1" shrinkToFit="1"/>
    </xf>
    <xf numFmtId="0" fontId="17" fillId="0" borderId="9" xfId="0" applyFont="1" applyBorder="1" applyAlignment="1">
      <alignment horizontal="center" vertical="center" shrinkToFit="1"/>
    </xf>
    <xf numFmtId="0" fontId="17" fillId="0" borderId="13" xfId="0" applyFont="1" applyBorder="1" applyAlignment="1">
      <alignment horizontal="center" vertical="center" shrinkToFit="1"/>
    </xf>
    <xf numFmtId="0" fontId="32" fillId="8" borderId="10" xfId="0" applyFont="1" applyFill="1" applyBorder="1" applyAlignment="1" applyProtection="1">
      <alignment horizontal="center" vertical="center" wrapText="1"/>
      <protection locked="0"/>
    </xf>
    <xf numFmtId="0" fontId="32" fillId="8" borderId="11" xfId="0" applyFont="1" applyFill="1" applyBorder="1" applyAlignment="1" applyProtection="1">
      <alignment horizontal="center" vertical="center" wrapText="1"/>
      <protection locked="0"/>
    </xf>
    <xf numFmtId="0" fontId="32" fillId="8" borderId="12" xfId="0" applyFont="1" applyFill="1" applyBorder="1" applyAlignment="1" applyProtection="1">
      <alignment horizontal="center" vertical="center" wrapText="1"/>
      <protection locked="0"/>
    </xf>
    <xf numFmtId="0" fontId="32" fillId="8" borderId="4" xfId="0" applyFont="1" applyFill="1" applyBorder="1" applyAlignment="1" applyProtection="1">
      <alignment horizontal="center" vertical="center" wrapText="1"/>
      <protection locked="0"/>
    </xf>
    <xf numFmtId="0" fontId="32" fillId="8" borderId="0" xfId="0" applyFont="1" applyFill="1" applyAlignment="1" applyProtection="1">
      <alignment horizontal="center" vertical="center" wrapText="1"/>
      <protection locked="0"/>
    </xf>
    <xf numFmtId="0" fontId="32" fillId="8" borderId="5" xfId="0" applyFont="1" applyFill="1" applyBorder="1" applyAlignment="1" applyProtection="1">
      <alignment horizontal="center" vertical="center" wrapText="1"/>
      <protection locked="0"/>
    </xf>
    <xf numFmtId="0" fontId="32" fillId="8" borderId="6" xfId="0" applyFont="1" applyFill="1" applyBorder="1" applyAlignment="1" applyProtection="1">
      <alignment horizontal="center" vertical="center" wrapText="1"/>
      <protection locked="0"/>
    </xf>
    <xf numFmtId="0" fontId="32" fillId="8" borderId="7" xfId="0" applyFont="1" applyFill="1" applyBorder="1" applyAlignment="1" applyProtection="1">
      <alignment horizontal="center" vertical="center" wrapText="1"/>
      <protection locked="0"/>
    </xf>
    <xf numFmtId="0" fontId="32" fillId="8" borderId="8" xfId="0" applyFont="1" applyFill="1" applyBorder="1" applyAlignment="1" applyProtection="1">
      <alignment horizontal="center" vertical="center" wrapText="1"/>
      <protection locked="0"/>
    </xf>
    <xf numFmtId="0" fontId="17" fillId="0" borderId="9" xfId="0" applyFont="1" applyBorder="1" applyAlignment="1">
      <alignment horizontal="center" vertical="center"/>
    </xf>
    <xf numFmtId="0" fontId="17" fillId="0" borderId="13" xfId="0" applyFont="1" applyBorder="1" applyAlignment="1">
      <alignment horizontal="center" vertical="center"/>
    </xf>
    <xf numFmtId="0" fontId="17" fillId="0" borderId="2" xfId="0" applyFont="1" applyBorder="1" applyAlignment="1">
      <alignment horizontal="center" vertical="center"/>
    </xf>
    <xf numFmtId="0" fontId="17" fillId="8" borderId="9" xfId="0" applyFont="1" applyFill="1" applyBorder="1" applyAlignment="1" applyProtection="1">
      <alignment horizontal="center" vertical="center" shrinkToFit="1"/>
      <protection locked="0"/>
    </xf>
    <xf numFmtId="0" fontId="0" fillId="0" borderId="13" xfId="0" applyBorder="1" applyProtection="1">
      <protection locked="0"/>
    </xf>
    <xf numFmtId="0" fontId="0" fillId="0" borderId="2" xfId="0" applyBorder="1" applyProtection="1">
      <protection locked="0"/>
    </xf>
    <xf numFmtId="0" fontId="3" fillId="0" borderId="11" xfId="0" applyFont="1" applyBorder="1" applyAlignment="1">
      <alignment horizontal="center" vertical="center"/>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29" fillId="2" borderId="10" xfId="0" applyFont="1" applyFill="1" applyBorder="1" applyAlignment="1">
      <alignment horizontal="center" vertical="center"/>
    </xf>
    <xf numFmtId="0" fontId="29" fillId="2" borderId="12" xfId="0" applyFont="1" applyFill="1" applyBorder="1" applyAlignment="1">
      <alignment horizontal="center" vertical="center"/>
    </xf>
    <xf numFmtId="0" fontId="21" fillId="8" borderId="13" xfId="0" applyFont="1" applyFill="1" applyBorder="1" applyAlignment="1" applyProtection="1">
      <alignment horizontal="center" vertical="center" wrapText="1" shrinkToFit="1"/>
      <protection locked="0"/>
    </xf>
    <xf numFmtId="0" fontId="21" fillId="8" borderId="2" xfId="0" applyFont="1" applyFill="1" applyBorder="1" applyAlignment="1" applyProtection="1">
      <alignment horizontal="center" vertical="center" wrapText="1" shrinkToFit="1"/>
      <protection locked="0"/>
    </xf>
    <xf numFmtId="0" fontId="3" fillId="8" borderId="11" xfId="0" applyFont="1" applyFill="1" applyBorder="1" applyAlignment="1" applyProtection="1">
      <alignment horizontal="center" vertical="center"/>
      <protection locked="0"/>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5" fillId="2" borderId="9" xfId="0" applyFont="1" applyFill="1" applyBorder="1" applyAlignment="1">
      <alignment horizontal="center" vertical="center" shrinkToFit="1"/>
    </xf>
    <xf numFmtId="0" fontId="15" fillId="2" borderId="13" xfId="0" applyFont="1" applyFill="1" applyBorder="1" applyAlignment="1">
      <alignment horizontal="center" vertical="center" shrinkToFit="1"/>
    </xf>
    <xf numFmtId="0" fontId="29" fillId="10" borderId="9" xfId="0" applyFont="1" applyFill="1" applyBorder="1" applyAlignment="1" applyProtection="1">
      <alignment horizontal="center" vertical="center" wrapText="1"/>
      <protection locked="0"/>
    </xf>
    <xf numFmtId="0" fontId="29" fillId="10" borderId="2" xfId="0" applyFont="1" applyFill="1" applyBorder="1" applyAlignment="1" applyProtection="1">
      <alignment horizontal="center" vertical="center" wrapText="1"/>
      <protection locked="0"/>
    </xf>
    <xf numFmtId="0" fontId="3" fillId="8" borderId="0" xfId="0" applyFont="1" applyFill="1" applyAlignment="1">
      <alignment horizontal="center" vertical="center"/>
    </xf>
    <xf numFmtId="0" fontId="17" fillId="8" borderId="13" xfId="0" applyFont="1" applyFill="1" applyBorder="1" applyAlignment="1" applyProtection="1">
      <alignment horizontal="center" vertical="center" shrinkToFit="1"/>
      <protection locked="0"/>
    </xf>
    <xf numFmtId="0" fontId="17" fillId="8" borderId="2" xfId="0" applyFont="1" applyFill="1" applyBorder="1" applyAlignment="1" applyProtection="1">
      <alignment horizontal="center" vertical="center" shrinkToFit="1"/>
      <protection locked="0"/>
    </xf>
    <xf numFmtId="0" fontId="17" fillId="8" borderId="9" xfId="0" applyFont="1" applyFill="1" applyBorder="1" applyAlignment="1" applyProtection="1">
      <alignment horizontal="center" shrinkToFit="1"/>
      <protection locked="0"/>
    </xf>
    <xf numFmtId="0" fontId="17" fillId="8" borderId="13" xfId="0" applyFont="1" applyFill="1" applyBorder="1" applyAlignment="1" applyProtection="1">
      <alignment horizontal="center" shrinkToFit="1"/>
      <protection locked="0"/>
    </xf>
    <xf numFmtId="0" fontId="17" fillId="8" borderId="2" xfId="0" applyFont="1" applyFill="1" applyBorder="1" applyAlignment="1" applyProtection="1">
      <alignment horizontal="center" shrinkToFit="1"/>
      <protection locked="0"/>
    </xf>
    <xf numFmtId="0" fontId="2" fillId="2" borderId="17" xfId="0" applyFont="1" applyFill="1" applyBorder="1" applyAlignment="1">
      <alignment horizontal="center" vertical="center"/>
    </xf>
    <xf numFmtId="0" fontId="2" fillId="2" borderId="16" xfId="0" applyFont="1" applyFill="1" applyBorder="1" applyAlignment="1">
      <alignment horizontal="center" vertical="center"/>
    </xf>
    <xf numFmtId="0" fontId="3" fillId="8" borderId="10" xfId="0" applyFont="1" applyFill="1" applyBorder="1" applyAlignment="1" applyProtection="1">
      <alignment horizontal="center" vertical="center" shrinkToFit="1"/>
      <protection locked="0"/>
    </xf>
    <xf numFmtId="0" fontId="3" fillId="8" borderId="11" xfId="0" applyFont="1" applyFill="1" applyBorder="1" applyAlignment="1" applyProtection="1">
      <alignment horizontal="center" vertical="center" shrinkToFit="1"/>
      <protection locked="0"/>
    </xf>
    <xf numFmtId="0" fontId="15" fillId="2" borderId="5" xfId="0" applyFont="1" applyFill="1" applyBorder="1" applyAlignment="1">
      <alignment horizontal="center" vertical="center"/>
    </xf>
    <xf numFmtId="0" fontId="3" fillId="8" borderId="4" xfId="0" quotePrefix="1" applyFont="1" applyFill="1" applyBorder="1" applyAlignment="1">
      <alignment horizontal="center" vertical="center"/>
    </xf>
    <xf numFmtId="0" fontId="25" fillId="2" borderId="9" xfId="0" applyFont="1" applyFill="1" applyBorder="1" applyAlignment="1">
      <alignment horizontal="center" vertical="center"/>
    </xf>
    <xf numFmtId="0" fontId="25" fillId="2" borderId="2" xfId="0" applyFont="1" applyFill="1" applyBorder="1" applyAlignment="1">
      <alignment horizontal="center" vertical="center"/>
    </xf>
    <xf numFmtId="0" fontId="3" fillId="8" borderId="6" xfId="0" applyFont="1" applyFill="1" applyBorder="1" applyAlignment="1" applyProtection="1">
      <alignment horizontal="center" vertical="center"/>
      <protection locked="0"/>
    </xf>
    <xf numFmtId="0" fontId="3" fillId="8" borderId="8" xfId="0" applyFont="1" applyFill="1" applyBorder="1" applyAlignment="1" applyProtection="1">
      <alignment horizontal="center" vertical="center"/>
      <protection locked="0"/>
    </xf>
    <xf numFmtId="0" fontId="3" fillId="0" borderId="9" xfId="0" applyFont="1" applyBorder="1" applyAlignment="1">
      <alignment horizontal="center" vertical="center" shrinkToFit="1"/>
    </xf>
    <xf numFmtId="0" fontId="3" fillId="0" borderId="2" xfId="0" applyFont="1" applyBorder="1" applyAlignment="1">
      <alignment horizontal="center" vertical="center" shrinkToFit="1"/>
    </xf>
    <xf numFmtId="0" fontId="0" fillId="8" borderId="2" xfId="0" applyFill="1" applyBorder="1" applyAlignment="1">
      <alignment horizontal="center"/>
    </xf>
    <xf numFmtId="0" fontId="0" fillId="8" borderId="1" xfId="0" applyFill="1" applyBorder="1" applyAlignment="1">
      <alignment horizontal="center"/>
    </xf>
    <xf numFmtId="0" fontId="3" fillId="0" borderId="12" xfId="0" applyFont="1" applyBorder="1" applyAlignment="1">
      <alignment horizontal="center" vertical="center"/>
    </xf>
    <xf numFmtId="0" fontId="18" fillId="0" borderId="7" xfId="0" applyFont="1" applyBorder="1" applyAlignment="1">
      <alignment horizontal="center" vertical="top" shrinkToFit="1"/>
    </xf>
    <xf numFmtId="0" fontId="18" fillId="0" borderId="8" xfId="0" applyFont="1" applyBorder="1" applyAlignment="1">
      <alignment horizontal="center" vertical="top" shrinkToFit="1"/>
    </xf>
    <xf numFmtId="0" fontId="18" fillId="0" borderId="6" xfId="0" applyFont="1" applyBorder="1" applyAlignment="1">
      <alignment horizontal="center" vertical="top"/>
    </xf>
    <xf numFmtId="0" fontId="18" fillId="0" borderId="7" xfId="0" applyFont="1" applyBorder="1" applyAlignment="1">
      <alignment horizontal="center" vertical="top"/>
    </xf>
    <xf numFmtId="0" fontId="2" fillId="2" borderId="4" xfId="0" applyFont="1" applyFill="1" applyBorder="1" applyAlignment="1" applyProtection="1">
      <alignment horizontal="center" vertical="center"/>
      <protection locked="0"/>
    </xf>
    <xf numFmtId="0" fontId="2" fillId="2" borderId="5" xfId="0" applyFont="1" applyFill="1" applyBorder="1" applyAlignment="1" applyProtection="1">
      <alignment horizontal="center" vertical="center"/>
      <protection locked="0"/>
    </xf>
    <xf numFmtId="14" fontId="30" fillId="0" borderId="9" xfId="0" applyNumberFormat="1" applyFont="1" applyBorder="1" applyAlignment="1">
      <alignment horizontal="center"/>
    </xf>
    <xf numFmtId="0" fontId="30" fillId="0" borderId="13" xfId="0" applyFont="1" applyBorder="1" applyAlignment="1">
      <alignment horizontal="center"/>
    </xf>
    <xf numFmtId="0" fontId="2" fillId="2" borderId="0" xfId="0" applyFont="1" applyFill="1" applyAlignment="1" applyProtection="1">
      <alignment horizontal="center" vertical="center"/>
      <protection locked="0"/>
    </xf>
    <xf numFmtId="0" fontId="0" fillId="0" borderId="7"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14" fontId="30" fillId="0" borderId="11" xfId="0" applyNumberFormat="1" applyFont="1" applyBorder="1" applyAlignment="1">
      <alignment horizontal="right"/>
    </xf>
    <xf numFmtId="0" fontId="30" fillId="0" borderId="11" xfId="0" applyFont="1" applyBorder="1" applyAlignment="1">
      <alignment horizontal="right"/>
    </xf>
    <xf numFmtId="0" fontId="2" fillId="5" borderId="1" xfId="0" applyFont="1" applyFill="1" applyBorder="1" applyAlignment="1">
      <alignment horizontal="center" vertical="center"/>
    </xf>
    <xf numFmtId="0" fontId="2" fillId="2" borderId="0" xfId="0" applyFont="1" applyFill="1" applyAlignment="1">
      <alignment horizontal="center" vertical="center"/>
    </xf>
    <xf numFmtId="0" fontId="2" fillId="5" borderId="7" xfId="0" applyFont="1" applyFill="1" applyBorder="1" applyAlignment="1">
      <alignment horizontal="center"/>
    </xf>
    <xf numFmtId="0" fontId="13" fillId="5" borderId="0" xfId="0" applyFont="1" applyFill="1" applyAlignment="1">
      <alignment horizontal="center"/>
    </xf>
    <xf numFmtId="0" fontId="14" fillId="5" borderId="0" xfId="0" applyFont="1" applyFill="1" applyAlignment="1">
      <alignment horizontal="center"/>
    </xf>
    <xf numFmtId="0" fontId="6" fillId="22" borderId="1" xfId="0" applyFont="1" applyFill="1" applyBorder="1" applyAlignment="1">
      <alignment horizontal="center"/>
    </xf>
    <xf numFmtId="0" fontId="6" fillId="14" borderId="1" xfId="0" applyFont="1" applyFill="1" applyBorder="1" applyAlignment="1">
      <alignment horizontal="center"/>
    </xf>
    <xf numFmtId="0" fontId="6" fillId="20" borderId="9" xfId="0" applyFont="1" applyFill="1" applyBorder="1" applyAlignment="1">
      <alignment horizontal="center"/>
    </xf>
    <xf numFmtId="0" fontId="6" fillId="20" borderId="13" xfId="0" applyFont="1" applyFill="1" applyBorder="1" applyAlignment="1">
      <alignment horizontal="center"/>
    </xf>
    <xf numFmtId="0" fontId="6" fillId="20" borderId="2" xfId="0" applyFont="1" applyFill="1" applyBorder="1" applyAlignment="1">
      <alignment horizontal="center"/>
    </xf>
    <xf numFmtId="0" fontId="6" fillId="17" borderId="1" xfId="0" applyFont="1" applyFill="1" applyBorder="1" applyAlignment="1">
      <alignment horizontal="center"/>
    </xf>
    <xf numFmtId="0" fontId="6" fillId="18" borderId="1" xfId="0" applyFont="1" applyFill="1" applyBorder="1" applyAlignment="1">
      <alignment horizontal="center"/>
    </xf>
    <xf numFmtId="0" fontId="6" fillId="13" borderId="1" xfId="0" applyFont="1" applyFill="1" applyBorder="1" applyAlignment="1">
      <alignment horizontal="center"/>
    </xf>
    <xf numFmtId="0" fontId="6" fillId="16" borderId="1" xfId="0" applyFont="1" applyFill="1" applyBorder="1" applyAlignment="1">
      <alignment horizontal="center"/>
    </xf>
    <xf numFmtId="0" fontId="6" fillId="10" borderId="9" xfId="0" applyFont="1" applyFill="1" applyBorder="1" applyAlignment="1">
      <alignment horizontal="center"/>
    </xf>
    <xf numFmtId="0" fontId="6" fillId="10" borderId="13" xfId="0" applyFont="1" applyFill="1" applyBorder="1" applyAlignment="1">
      <alignment horizontal="center"/>
    </xf>
    <xf numFmtId="0" fontId="6" fillId="10" borderId="2" xfId="0" applyFont="1" applyFill="1" applyBorder="1" applyAlignment="1">
      <alignment horizontal="center"/>
    </xf>
    <xf numFmtId="0" fontId="6" fillId="15" borderId="1" xfId="0" applyFont="1" applyFill="1" applyBorder="1" applyAlignment="1">
      <alignment horizontal="center"/>
    </xf>
    <xf numFmtId="0" fontId="2" fillId="5" borderId="1" xfId="0" applyFont="1" applyFill="1" applyBorder="1" applyAlignment="1" applyProtection="1">
      <alignment horizontal="center"/>
      <protection hidden="1"/>
    </xf>
    <xf numFmtId="0" fontId="9" fillId="2" borderId="0" xfId="0" applyFont="1" applyFill="1" applyAlignment="1">
      <alignment horizontal="center"/>
    </xf>
    <xf numFmtId="0" fontId="2" fillId="10" borderId="0" xfId="0" applyFont="1" applyFill="1" applyAlignment="1">
      <alignment horizontal="center"/>
    </xf>
    <xf numFmtId="0" fontId="9" fillId="10" borderId="0" xfId="0" applyFont="1" applyFill="1" applyAlignment="1">
      <alignment horizontal="center"/>
    </xf>
    <xf numFmtId="0" fontId="12" fillId="3" borderId="0" xfId="0" applyFont="1" applyFill="1" applyAlignment="1" applyProtection="1">
      <alignment horizontal="center"/>
      <protection locked="0"/>
    </xf>
    <xf numFmtId="0" fontId="12" fillId="3" borderId="0" xfId="0" applyFont="1" applyFill="1" applyAlignment="1" applyProtection="1">
      <alignment horizontal="center" shrinkToFit="1"/>
      <protection locked="0"/>
    </xf>
    <xf numFmtId="0" fontId="3" fillId="8" borderId="0" xfId="0" applyFont="1" applyFill="1" applyAlignment="1" applyProtection="1">
      <alignment vertical="center" wrapText="1" shrinkToFit="1"/>
      <protection locked="0"/>
    </xf>
  </cellXfs>
  <cellStyles count="2">
    <cellStyle name="Hiperlink" xfId="1" builtinId="8"/>
    <cellStyle name="Normal" xfId="0" builtinId="0"/>
  </cellStyles>
  <dxfs count="62">
    <dxf>
      <font>
        <color theme="0"/>
      </font>
      <fill>
        <patternFill>
          <bgColor rgb="FFFF0000"/>
        </patternFill>
      </fill>
    </dxf>
    <dxf>
      <font>
        <color theme="0"/>
      </font>
      <fill>
        <patternFill>
          <bgColor rgb="FFFF0000"/>
        </patternFill>
      </fill>
    </dxf>
    <dxf>
      <font>
        <color theme="3"/>
      </font>
      <fill>
        <patternFill>
          <bgColor theme="3"/>
        </patternFill>
      </fill>
    </dxf>
    <dxf>
      <font>
        <color theme="1"/>
      </font>
      <fill>
        <patternFill patternType="none">
          <bgColor auto="1"/>
        </patternFill>
      </fill>
    </dxf>
    <dxf>
      <fill>
        <patternFill>
          <bgColor theme="8" tint="0.39994506668294322"/>
        </patternFill>
      </fill>
    </dxf>
    <dxf>
      <fill>
        <patternFill>
          <bgColor theme="8" tint="0.39994506668294322"/>
        </patternFill>
      </fill>
    </dxf>
    <dxf>
      <font>
        <color rgb="FFFFCC00"/>
      </font>
      <fill>
        <patternFill patternType="solid">
          <fgColor rgb="FFFFCC00"/>
          <bgColor rgb="FFFFC000"/>
        </patternFill>
      </fill>
    </dxf>
    <dxf>
      <fill>
        <patternFill>
          <bgColor theme="8" tint="0.39994506668294322"/>
        </patternFill>
      </fill>
    </dxf>
    <dxf>
      <fill>
        <patternFill>
          <bgColor theme="8" tint="0.39994506668294322"/>
        </patternFill>
      </fill>
    </dxf>
    <dxf>
      <fill>
        <patternFill>
          <bgColor theme="8" tint="0.39994506668294322"/>
        </patternFill>
      </fill>
    </dxf>
    <dxf>
      <font>
        <b/>
        <i val="0"/>
        <color rgb="FFFF0000"/>
      </font>
      <fill>
        <patternFill>
          <fgColor theme="1"/>
          <bgColor theme="1"/>
        </patternFill>
      </fill>
      <border>
        <left style="thin">
          <color auto="1"/>
        </left>
        <right style="thin">
          <color auto="1"/>
        </right>
        <top style="thin">
          <color auto="1"/>
        </top>
        <bottom style="thin">
          <color auto="1"/>
        </bottom>
      </border>
    </dxf>
    <dxf>
      <font>
        <color rgb="FFFF0000"/>
      </font>
      <fill>
        <patternFill>
          <bgColor theme="1"/>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3"/>
      </font>
      <fill>
        <patternFill>
          <bgColor theme="3"/>
        </patternFill>
      </fill>
    </dxf>
    <dxf>
      <fill>
        <patternFill patternType="darkUp"/>
      </fill>
    </dxf>
    <dxf>
      <fill>
        <patternFill patternType="lightUp">
          <bgColor theme="8" tint="0.39994506668294322"/>
        </patternFill>
      </fill>
    </dxf>
    <dxf>
      <fill>
        <patternFill patternType="lightUp"/>
      </fill>
    </dxf>
    <dxf>
      <fill>
        <patternFill>
          <bgColor theme="8" tint="0.39994506668294322"/>
        </patternFill>
      </fill>
    </dxf>
    <dxf>
      <fill>
        <patternFill patternType="solid">
          <bgColor theme="0"/>
        </patternFill>
      </fill>
    </dxf>
    <dxf>
      <fill>
        <patternFill>
          <fgColor theme="0"/>
          <bgColor theme="0"/>
        </patternFill>
      </fill>
    </dxf>
    <dxf>
      <font>
        <color theme="0"/>
      </font>
      <fill>
        <patternFill>
          <f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ill>
        <patternFill>
          <bgColor theme="8" tint="0.39994506668294322"/>
        </patternFill>
      </fill>
    </dxf>
    <dxf>
      <font>
        <color theme="0"/>
      </font>
      <fill>
        <patternFill>
          <fgColor theme="0"/>
        </patternFill>
      </fill>
      <border>
        <left style="thin">
          <color theme="1"/>
        </left>
        <right style="thin">
          <color theme="1"/>
        </right>
        <top style="thin">
          <color theme="1"/>
        </top>
        <bottom style="thin">
          <color theme="1"/>
        </bottom>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3"/>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ont>
        <color theme="1"/>
      </font>
      <fill>
        <patternFill>
          <bgColor theme="8" tint="0.39994506668294322"/>
        </patternFill>
      </fill>
      <border>
        <left style="thin">
          <color auto="1"/>
        </left>
        <right style="thin">
          <color auto="1"/>
        </right>
        <top style="thin">
          <color auto="1"/>
        </top>
        <bottom style="thin">
          <color auto="1"/>
        </bottom>
        <vertical/>
        <horizontal/>
      </border>
    </dxf>
    <dxf>
      <font>
        <color theme="0"/>
      </font>
      <fill>
        <patternFill>
          <bgColor theme="3"/>
        </patternFill>
      </fill>
    </dxf>
    <dxf>
      <fill>
        <patternFill>
          <bgColor theme="3"/>
        </patternFill>
      </fill>
    </dxf>
    <dxf>
      <fill>
        <patternFill>
          <bgColor rgb="FFFF0000"/>
        </patternFill>
      </fill>
    </dxf>
    <dxf>
      <font>
        <color theme="0"/>
      </font>
      <fill>
        <patternFill>
          <bgColor rgb="FF00B050"/>
        </patternFill>
      </fill>
    </dxf>
    <dxf>
      <font>
        <color theme="3"/>
      </font>
      <fill>
        <patternFill>
          <bgColor theme="3"/>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3"/>
      </font>
      <fill>
        <patternFill>
          <bgColor theme="3"/>
        </patternFill>
      </fill>
    </dxf>
    <dxf>
      <font>
        <color rgb="FFFF0000"/>
      </font>
    </dxf>
    <dxf>
      <fill>
        <patternFill>
          <bgColor theme="8" tint="0.39994506668294322"/>
        </patternFill>
      </fill>
    </dxf>
    <dxf>
      <fill>
        <patternFill>
          <bgColor theme="9" tint="0.39994506668294322"/>
        </patternFill>
      </fill>
    </dxf>
    <dxf>
      <fill>
        <patternFill>
          <bgColor theme="8" tint="0.39994506668294322"/>
        </patternFill>
      </fill>
    </dxf>
    <dxf>
      <font>
        <color theme="3"/>
      </font>
      <fill>
        <patternFill>
          <bgColor theme="3"/>
        </patternFill>
      </fill>
    </dxf>
    <dxf>
      <fill>
        <patternFill>
          <bgColor theme="8" tint="0.39994506668294322"/>
        </patternFill>
      </fill>
    </dxf>
    <dxf>
      <fill>
        <patternFill>
          <bgColor theme="8" tint="0.39994506668294322"/>
        </patternFill>
      </fill>
    </dxf>
    <dxf>
      <numFmt numFmtId="175" formatCode="00,000,000,0\-00"/>
    </dxf>
    <dxf>
      <numFmt numFmtId="176" formatCode="&quot;##.###.###/####-##&quot;"/>
    </dxf>
    <dxf>
      <numFmt numFmtId="170" formatCode="&quot;000.000.000-00&quot;"/>
    </dxf>
    <dxf>
      <numFmt numFmtId="177" formatCode="&quot;00.000.000/0000.00&quot;"/>
    </dxf>
    <dxf>
      <numFmt numFmtId="178" formatCode="\(00,000,000,0\-00\)"/>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fgColor theme="0"/>
        </patternFill>
      </fill>
    </dxf>
    <dxf>
      <font>
        <strike val="0"/>
        <color auto="1"/>
      </font>
      <fill>
        <patternFill>
          <bgColor theme="8" tint="0.39994506668294322"/>
        </patternFill>
      </fill>
      <border>
        <left style="thin">
          <color auto="1"/>
        </left>
        <right style="thin">
          <color auto="1"/>
        </right>
        <top style="thin">
          <color auto="1"/>
        </top>
        <bottom style="thin">
          <color auto="1"/>
        </bottom>
        <vertical/>
        <horizontal/>
      </border>
    </dxf>
    <dxf>
      <fill>
        <patternFill>
          <bgColor theme="8" tint="0.39994506668294322"/>
        </patternFill>
      </fill>
      <border>
        <left style="thin">
          <color auto="1"/>
        </left>
        <right style="thin">
          <color auto="1"/>
        </right>
        <top style="thin">
          <color auto="1"/>
        </top>
        <bottom style="thin">
          <color auto="1"/>
        </bottom>
        <vertical/>
        <horizontal/>
      </border>
    </dxf>
    <dxf>
      <fill>
        <patternFill>
          <bgColor theme="3"/>
        </patternFill>
      </fill>
    </dxf>
    <dxf>
      <font>
        <color theme="0"/>
      </font>
      <fill>
        <patternFill>
          <bgColor theme="3"/>
        </patternFill>
      </fill>
    </dxf>
  </dxfs>
  <tableStyles count="0" defaultTableStyle="TableStyleMedium9" defaultPivotStyle="PivotStyleLight16"/>
  <colors>
    <mruColors>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78830</xdr:colOff>
      <xdr:row>0</xdr:row>
      <xdr:rowOff>26276</xdr:rowOff>
    </xdr:from>
    <xdr:to>
      <xdr:col>1</xdr:col>
      <xdr:colOff>361551</xdr:colOff>
      <xdr:row>2</xdr:row>
      <xdr:rowOff>157101</xdr:rowOff>
    </xdr:to>
    <xdr:pic>
      <xdr:nvPicPr>
        <xdr:cNvPr id="3" name="Imagem 2" descr="logo.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8830" y="26276"/>
          <a:ext cx="671048" cy="640474"/>
        </a:xfrm>
        <a:prstGeom prst="rect">
          <a:avLst/>
        </a:prstGeom>
      </xdr:spPr>
    </xdr:pic>
    <xdr:clientData/>
  </xdr:twoCellAnchor>
  <xdr:twoCellAnchor editAs="oneCell">
    <xdr:from>
      <xdr:col>0</xdr:col>
      <xdr:colOff>29355</xdr:colOff>
      <xdr:row>17</xdr:row>
      <xdr:rowOff>18065</xdr:rowOff>
    </xdr:from>
    <xdr:to>
      <xdr:col>1</xdr:col>
      <xdr:colOff>372631</xdr:colOff>
      <xdr:row>20</xdr:row>
      <xdr:rowOff>140438</xdr:rowOff>
    </xdr:to>
    <xdr:pic>
      <xdr:nvPicPr>
        <xdr:cNvPr id="4" name="Imagem 3" descr="logo.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29355" y="2643393"/>
          <a:ext cx="736182" cy="693873"/>
        </a:xfrm>
        <a:prstGeom prst="rect">
          <a:avLst/>
        </a:prstGeom>
      </xdr:spPr>
    </xdr:pic>
    <xdr:clientData/>
  </xdr:twoCellAnchor>
  <xdr:twoCellAnchor>
    <xdr:from>
      <xdr:col>0</xdr:col>
      <xdr:colOff>0</xdr:colOff>
      <xdr:row>41</xdr:row>
      <xdr:rowOff>0</xdr:rowOff>
    </xdr:from>
    <xdr:to>
      <xdr:col>21</xdr:col>
      <xdr:colOff>0</xdr:colOff>
      <xdr:row>43</xdr:row>
      <xdr:rowOff>2380</xdr:rowOff>
    </xdr:to>
    <xdr:sp macro="" textlink="">
      <xdr:nvSpPr>
        <xdr:cNvPr id="5" name="CaixaDeTexto 4">
          <a:extLst>
            <a:ext uri="{FF2B5EF4-FFF2-40B4-BE49-F238E27FC236}">
              <a16:creationId xmlns:a16="http://schemas.microsoft.com/office/drawing/2014/main" id="{00000000-0008-0000-0000-000005000000}"/>
            </a:ext>
          </a:extLst>
        </xdr:cNvPr>
        <xdr:cNvSpPr txBox="1"/>
      </xdr:nvSpPr>
      <xdr:spPr>
        <a:xfrm>
          <a:off x="0" y="6613922"/>
          <a:ext cx="5935266" cy="1294208"/>
        </a:xfrm>
        <a:prstGeom prst="rect">
          <a:avLst/>
        </a:prstGeom>
        <a:solidFill>
          <a:schemeClr val="lt1"/>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 </a:t>
          </a:r>
          <a:r>
            <a:rPr lang="pt-BR" sz="1100" b="1"/>
            <a:t>CONTRATO</a:t>
          </a:r>
          <a:r>
            <a:rPr lang="pt-BR" sz="1100" b="1" baseline="0"/>
            <a:t> DE REVENDA</a:t>
          </a:r>
          <a:endParaRPr lang="pt-BR" sz="1100" b="1"/>
        </a:p>
        <a:p>
          <a:pPr algn="l"/>
          <a:r>
            <a:rPr lang="pt-BR" sz="1100"/>
            <a:t>          </a:t>
          </a:r>
          <a:r>
            <a:rPr lang="pt-BR" sz="900"/>
            <a:t>De um lado, Futura Etiquetas Ltda, denominado Fornecedora e, de outro lado o(a) Revendedor(a) qualificados neste formulário, firmam que, o(a) Revendedor(a) ao adquirir os produtos, assume por sua própria conta todos os riscos, lucros e prejuízos decorrentes de sua atividade comercial e obriga-se a pagar os produtos adquiridos dentro do prazo e condições estabelecidas na ordem de faturamento. O(A) Revendedora(a) está ciente que a falta de pagamento acarretará o não fornecimento de novas mercadorias. O(A) Revendedor(a) não é representante, portador, agente e nem procurador do Fornecedor, estando-lhe proibido a comprometer-se em nome dele. Ambos elegem o foro de Caruaru para dirimir pendencias decorrentes.</a:t>
          </a:r>
        </a:p>
      </xdr:txBody>
    </xdr:sp>
    <xdr:clientData/>
  </xdr:twoCellAnchor>
  <xdr:twoCellAnchor>
    <xdr:from>
      <xdr:col>17</xdr:col>
      <xdr:colOff>105833</xdr:colOff>
      <xdr:row>1</xdr:row>
      <xdr:rowOff>21167</xdr:rowOff>
    </xdr:from>
    <xdr:to>
      <xdr:col>18</xdr:col>
      <xdr:colOff>116418</xdr:colOff>
      <xdr:row>1</xdr:row>
      <xdr:rowOff>275167</xdr:rowOff>
    </xdr:to>
    <xdr:sp macro="" textlink="">
      <xdr:nvSpPr>
        <xdr:cNvPr id="6" name="Seta para cima e para baixo 5">
          <a:extLst>
            <a:ext uri="{FF2B5EF4-FFF2-40B4-BE49-F238E27FC236}">
              <a16:creationId xmlns:a16="http://schemas.microsoft.com/office/drawing/2014/main" id="{00000000-0008-0000-0000-000006000000}"/>
            </a:ext>
          </a:extLst>
        </xdr:cNvPr>
        <xdr:cNvSpPr/>
      </xdr:nvSpPr>
      <xdr:spPr>
        <a:xfrm>
          <a:off x="4667250" y="169334"/>
          <a:ext cx="317501" cy="254000"/>
        </a:xfrm>
        <a:prstGeom prst="up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persons/person.xml><?xml version="1.0" encoding="utf-8"?>
<personList xmlns="http://schemas.microsoft.com/office/spreadsheetml/2018/threadedcomments" xmlns:x="http://schemas.openxmlformats.org/spreadsheetml/2006/main">
  <person displayName="Rogaciano Paz" id="{6466A4B6-D1CA-4A65-B9AB-117B0ED3DBA9}" userId="5281a47cd630ecfc"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31" dT="2025-05-07T21:59:16.95" personId="{6466A4B6-D1CA-4A65-B9AB-117B0ED3DBA9}" id="{B7DE0EFD-D9F4-422F-82EC-8EE910CA1611}">
    <text xml:space="preserve">Fd = Fundo
</text>
  </threadedComment>
  <threadedComment ref="R31" dT="2025-05-07T22:01:14.96" personId="{6466A4B6-D1CA-4A65-B9AB-117B0ED3DBA9}" id="{CBF55230-F6F1-42B1-A3B1-D7C723E8394A}">
    <text xml:space="preserve">Tabela de Cores
</text>
  </threadedComment>
  <threadedComment ref="U31" dT="2025-05-07T21:59:16.95" personId="{6466A4B6-D1CA-4A65-B9AB-117B0ED3DBA9}" id="{621036E0-1A01-4912-9DDA-A975D0C389E5}">
    <text xml:space="preserve">Fd = Fundo
</text>
  </threadedComment>
  <threadedComment ref="V31" dT="2025-05-07T22:01:14.96" personId="{6466A4B6-D1CA-4A65-B9AB-117B0ED3DBA9}" id="{1B401E11-61D1-4494-8F8E-AACF556557E3}">
    <text xml:space="preserve">Tabela de Cores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image" Target="../media/image1.jpeg"/></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BK226"/>
  <sheetViews>
    <sheetView tabSelected="1" showWhiteSpace="0" topLeftCell="A7" zoomScale="130" zoomScaleNormal="130" zoomScalePageLayoutView="55" workbookViewId="0">
      <selection activeCell="J23" sqref="J23:N24"/>
    </sheetView>
  </sheetViews>
  <sheetFormatPr defaultRowHeight="15" x14ac:dyDescent="0.25"/>
  <cols>
    <col min="1" max="1" width="5.85546875" customWidth="1"/>
    <col min="2" max="2" width="6" customWidth="1"/>
    <col min="3" max="3" width="5" customWidth="1"/>
    <col min="4" max="4" width="4.42578125" customWidth="1"/>
    <col min="5" max="5" width="3.28515625" customWidth="1"/>
    <col min="6" max="7" width="4.28515625" customWidth="1"/>
    <col min="8" max="8" width="4.140625" customWidth="1"/>
    <col min="9" max="10" width="1.5703125" customWidth="1"/>
    <col min="11" max="12" width="4.140625" customWidth="1"/>
    <col min="13" max="13" width="3.85546875" customWidth="1"/>
    <col min="14" max="16" width="4" customWidth="1"/>
    <col min="17" max="17" width="3.85546875" customWidth="1"/>
    <col min="18" max="18" width="4.5703125" customWidth="1"/>
    <col min="19" max="19" width="2.42578125" customWidth="1"/>
    <col min="20" max="20" width="6.42578125" customWidth="1"/>
    <col min="21" max="21" width="7.140625" customWidth="1"/>
    <col min="22" max="22" width="6.7109375" customWidth="1"/>
    <col min="23" max="23" width="5.5703125" customWidth="1"/>
    <col min="24" max="24" width="11.5703125" bestFit="1" customWidth="1"/>
    <col min="25" max="25" width="5" customWidth="1"/>
    <col min="26" max="26" width="5.42578125" customWidth="1"/>
    <col min="27" max="27" width="5" customWidth="1"/>
    <col min="28" max="28" width="13.28515625" bestFit="1" customWidth="1"/>
    <col min="29" max="29" width="15.85546875" customWidth="1"/>
    <col min="30" max="30" width="16.140625" customWidth="1"/>
    <col min="31" max="31" width="22.140625" customWidth="1"/>
    <col min="32" max="32" width="3" customWidth="1"/>
    <col min="33" max="33" width="9.140625" hidden="1" customWidth="1"/>
    <col min="34" max="34" width="64.85546875" customWidth="1"/>
    <col min="35" max="35" width="10" customWidth="1"/>
    <col min="36" max="36" width="24.28515625" customWidth="1"/>
    <col min="37" max="37" width="28.28515625" customWidth="1"/>
    <col min="38" max="38" width="25.140625" customWidth="1"/>
    <col min="39" max="39" width="9.140625" customWidth="1"/>
    <col min="40" max="40" width="15.85546875" customWidth="1"/>
    <col min="41" max="46" width="9.140625" customWidth="1"/>
    <col min="47" max="47" width="12.28515625" customWidth="1"/>
    <col min="48" max="54" width="9.140625" customWidth="1"/>
    <col min="63" max="63" width="17.42578125" customWidth="1"/>
  </cols>
  <sheetData>
    <row r="1" spans="1:63" ht="12" customHeight="1" x14ac:dyDescent="0.25">
      <c r="A1" s="205"/>
      <c r="B1" s="54"/>
      <c r="C1" s="178" t="str">
        <f ca="1">IF(R1&lt;X3,"TABELA EXPIRADA","F U T U R A  ETIQUETAS")</f>
        <v>TABELA EXPIRADA</v>
      </c>
      <c r="D1" s="178"/>
      <c r="E1" s="178"/>
      <c r="F1" s="178"/>
      <c r="G1" s="178"/>
      <c r="H1" s="178"/>
      <c r="I1" s="178"/>
      <c r="J1" s="178"/>
      <c r="K1" s="178"/>
      <c r="L1" s="178"/>
      <c r="M1" s="178"/>
      <c r="N1" s="178"/>
      <c r="O1" s="178"/>
      <c r="P1" s="178"/>
      <c r="Q1" s="178"/>
      <c r="R1" s="237">
        <v>45657</v>
      </c>
      <c r="S1" s="238"/>
      <c r="T1" s="208" t="s">
        <v>95</v>
      </c>
      <c r="U1" s="209"/>
      <c r="AH1" s="118"/>
      <c r="AI1" s="118"/>
      <c r="AJ1" s="118"/>
      <c r="AK1" s="118"/>
      <c r="AL1" s="118"/>
      <c r="AM1" s="118"/>
      <c r="AN1" s="118"/>
      <c r="AO1" s="118"/>
      <c r="AP1" s="118"/>
      <c r="AQ1" s="118"/>
      <c r="AR1" s="118"/>
      <c r="AS1" s="118"/>
      <c r="AT1" s="118"/>
      <c r="AU1" s="119"/>
      <c r="AV1" s="119"/>
      <c r="AW1" s="119"/>
      <c r="AX1" s="119"/>
      <c r="AY1" s="2"/>
      <c r="AZ1" s="2"/>
      <c r="BA1" s="2"/>
      <c r="BB1" s="2"/>
      <c r="BC1" s="2"/>
      <c r="BD1" s="2"/>
      <c r="BE1" s="2"/>
      <c r="BF1" s="2"/>
      <c r="BG1" s="2"/>
      <c r="BH1" s="2"/>
      <c r="BI1" s="2"/>
      <c r="BJ1" s="2"/>
    </row>
    <row r="2" spans="1:63" ht="27.75" customHeight="1" x14ac:dyDescent="0.25">
      <c r="A2" s="206"/>
      <c r="B2" s="1"/>
      <c r="C2" s="179"/>
      <c r="D2" s="179"/>
      <c r="E2" s="179"/>
      <c r="F2" s="179"/>
      <c r="G2" s="179"/>
      <c r="H2" s="179"/>
      <c r="I2" s="179"/>
      <c r="J2" s="179"/>
      <c r="K2" s="179"/>
      <c r="L2" s="179"/>
      <c r="M2" s="179"/>
      <c r="N2" s="179"/>
      <c r="O2" s="179"/>
      <c r="P2" s="179"/>
      <c r="Q2" s="179"/>
      <c r="R2" s="239"/>
      <c r="S2" s="240"/>
      <c r="T2" s="227"/>
      <c r="U2" s="228"/>
      <c r="V2" s="19"/>
      <c r="W2" s="19"/>
      <c r="Y2" s="19"/>
      <c r="Z2" s="19"/>
      <c r="AA2" s="19"/>
      <c r="AB2" s="19"/>
      <c r="AC2" s="19"/>
      <c r="AD2" s="19"/>
      <c r="AE2" s="19"/>
      <c r="AF2" s="19"/>
      <c r="AG2" s="19"/>
      <c r="AH2" s="120"/>
      <c r="AI2" s="121"/>
      <c r="AJ2" s="130" t="s">
        <v>339</v>
      </c>
      <c r="AK2" s="145" t="e">
        <f>IF(AND(S23="CORTE ESPECIAL ",Q20="")=TRUE,"VER SEGUNDOS",( IF(AND( U17="",M19&lt;(T11*0.85)),"VER TABELA",IF(C23=60,1.49,1)*(IF(B40=M19,CÁLCULO!H13,"GRADE ERRADA"))*(IF(U16="",1,(IF(U15="+",(1+U16%),(1-U16%)))))*(IF(S25="SIM",1.15,1))*V41)) )</f>
        <v>#VALUE!</v>
      </c>
      <c r="AL2" s="130">
        <f>CÁLCULO!H13</f>
        <v>251.24</v>
      </c>
      <c r="AM2" s="130"/>
      <c r="AN2" s="130"/>
      <c r="AO2" s="130"/>
      <c r="AP2" s="130"/>
      <c r="AQ2" s="130"/>
      <c r="AR2" s="130"/>
      <c r="AS2" s="130"/>
      <c r="AT2" s="131"/>
      <c r="AU2" s="131"/>
      <c r="AV2" s="131"/>
      <c r="AW2" s="131"/>
      <c r="AX2" s="132"/>
      <c r="AY2" s="132"/>
      <c r="AZ2" s="2"/>
      <c r="BA2" s="2"/>
      <c r="BB2" s="2"/>
      <c r="BC2" s="2"/>
      <c r="BD2" s="2"/>
      <c r="BE2" s="2"/>
      <c r="BF2" s="2"/>
      <c r="BG2" s="2"/>
      <c r="BH2" s="2"/>
      <c r="BI2" s="2"/>
      <c r="BJ2" s="2"/>
    </row>
    <row r="3" spans="1:63" ht="13.5" customHeight="1" x14ac:dyDescent="0.25">
      <c r="A3" s="207"/>
      <c r="B3" s="105"/>
      <c r="C3" s="182" t="s">
        <v>338</v>
      </c>
      <c r="D3" s="182"/>
      <c r="E3" s="182"/>
      <c r="F3" s="182"/>
      <c r="G3" s="182"/>
      <c r="H3" s="182"/>
      <c r="I3" s="182"/>
      <c r="J3" s="182"/>
      <c r="K3" s="182"/>
      <c r="L3" s="182"/>
      <c r="M3" s="182"/>
      <c r="N3" s="182"/>
      <c r="O3" s="182"/>
      <c r="P3" s="182"/>
      <c r="Q3" s="182"/>
      <c r="R3" s="241"/>
      <c r="S3" s="242"/>
      <c r="T3" s="108" t="s">
        <v>179</v>
      </c>
      <c r="U3" s="111"/>
      <c r="V3" s="19"/>
      <c r="W3" s="19"/>
      <c r="X3" s="106">
        <f ca="1">TODAY()</f>
        <v>45981</v>
      </c>
      <c r="Y3" s="19"/>
      <c r="Z3" s="19"/>
      <c r="AA3" s="19"/>
      <c r="AB3" s="19"/>
      <c r="AC3" s="19"/>
      <c r="AD3" s="19"/>
      <c r="AE3" s="19"/>
      <c r="AF3" s="19"/>
      <c r="AG3" s="19"/>
      <c r="AH3" s="120"/>
      <c r="AI3" s="121"/>
      <c r="AJ3" s="130"/>
      <c r="AK3" s="130"/>
      <c r="AL3" s="130"/>
      <c r="AM3" s="130"/>
      <c r="AN3" s="130"/>
      <c r="AO3" s="130"/>
      <c r="AP3" s="130"/>
      <c r="AQ3" s="130"/>
      <c r="AR3" s="130"/>
      <c r="AS3" s="130"/>
      <c r="AT3" s="131"/>
      <c r="AU3" s="131"/>
      <c r="AV3" s="131"/>
      <c r="AW3" s="131"/>
      <c r="AX3" s="132"/>
      <c r="AY3" s="132"/>
      <c r="AZ3" s="2"/>
      <c r="BA3" s="2"/>
      <c r="BB3" s="2"/>
      <c r="BC3" s="2"/>
      <c r="BD3" s="2"/>
      <c r="BE3" s="2"/>
      <c r="BF3" s="2"/>
      <c r="BG3" s="2"/>
      <c r="BH3" s="2"/>
      <c r="BI3" s="2"/>
      <c r="BJ3" s="2"/>
    </row>
    <row r="4" spans="1:63" ht="11.25" customHeight="1" x14ac:dyDescent="0.25">
      <c r="A4" s="219" t="s">
        <v>330</v>
      </c>
      <c r="B4" s="220"/>
      <c r="C4" s="229"/>
      <c r="D4" s="230"/>
      <c r="E4" s="230"/>
      <c r="F4" s="230"/>
      <c r="G4" s="230"/>
      <c r="H4" s="230"/>
      <c r="I4" s="230"/>
      <c r="J4" s="230"/>
      <c r="K4" s="230"/>
      <c r="L4" s="230"/>
      <c r="M4" s="230"/>
      <c r="N4" s="107" t="s">
        <v>64</v>
      </c>
      <c r="O4" s="229"/>
      <c r="P4" s="231"/>
      <c r="Q4" s="261" t="s">
        <v>106</v>
      </c>
      <c r="R4" s="261"/>
      <c r="S4" s="218"/>
      <c r="T4" s="218"/>
      <c r="U4" s="218"/>
      <c r="V4" s="19"/>
      <c r="W4" s="19"/>
      <c r="X4" s="19"/>
      <c r="Y4" s="19"/>
      <c r="Z4" s="19"/>
      <c r="AA4" s="19"/>
      <c r="AB4" s="19"/>
      <c r="AC4" s="19"/>
      <c r="AD4" s="19"/>
      <c r="AE4" s="19"/>
      <c r="AF4" s="19"/>
      <c r="AG4" s="19"/>
      <c r="AH4" s="120"/>
      <c r="AI4" s="121"/>
      <c r="AJ4" s="175" t="s">
        <v>91</v>
      </c>
      <c r="AK4" s="176"/>
      <c r="AL4" s="177"/>
      <c r="AM4" s="175" t="s">
        <v>109</v>
      </c>
      <c r="AN4" s="176"/>
      <c r="AO4" s="177"/>
      <c r="AP4" s="130"/>
      <c r="AQ4" s="130"/>
      <c r="AR4" s="130"/>
      <c r="AS4" s="130"/>
      <c r="AT4" s="131"/>
      <c r="AU4" s="131"/>
      <c r="AV4" s="131"/>
      <c r="AW4" s="131"/>
      <c r="AX4" s="132"/>
      <c r="AY4" s="132"/>
      <c r="AZ4" s="2"/>
      <c r="BA4" s="2"/>
      <c r="BB4" s="2"/>
      <c r="BC4" s="2"/>
      <c r="BD4" s="2"/>
      <c r="BE4" s="2"/>
      <c r="BF4" s="2"/>
      <c r="BG4" s="2"/>
      <c r="BH4" s="2"/>
      <c r="BI4" s="2"/>
      <c r="BJ4" s="2"/>
    </row>
    <row r="5" spans="1:63" ht="11.25" customHeight="1" x14ac:dyDescent="0.25">
      <c r="A5" s="216" t="s">
        <v>202</v>
      </c>
      <c r="B5" s="217"/>
      <c r="C5" s="223"/>
      <c r="D5" s="224"/>
      <c r="E5" s="224"/>
      <c r="F5" s="224"/>
      <c r="G5" s="224"/>
      <c r="H5" s="224"/>
      <c r="I5" s="224"/>
      <c r="J5" s="224"/>
      <c r="K5" s="224"/>
      <c r="L5" s="224"/>
      <c r="M5" s="225"/>
      <c r="N5" s="48" t="s">
        <v>117</v>
      </c>
      <c r="O5" s="221"/>
      <c r="P5" s="222"/>
      <c r="Q5" s="210" t="s">
        <v>90</v>
      </c>
      <c r="R5" s="211"/>
      <c r="S5" s="226"/>
      <c r="T5" s="226"/>
      <c r="U5" s="226"/>
      <c r="V5" s="19"/>
      <c r="W5" s="19"/>
      <c r="X5" s="19"/>
      <c r="Y5" s="19"/>
      <c r="Z5" s="19"/>
      <c r="AA5" s="19"/>
      <c r="AB5" s="19"/>
      <c r="AC5" s="146"/>
      <c r="AD5" s="19"/>
      <c r="AE5" s="19"/>
      <c r="AF5" s="19"/>
      <c r="AG5" s="19"/>
      <c r="AH5" s="120"/>
      <c r="AI5" s="121"/>
      <c r="AJ5" s="133"/>
      <c r="AK5" s="134" t="s">
        <v>92</v>
      </c>
      <c r="AL5" s="135"/>
      <c r="AM5" s="133"/>
      <c r="AN5" s="134" t="s">
        <v>110</v>
      </c>
      <c r="AO5" s="135"/>
      <c r="AP5" s="130"/>
      <c r="AQ5" s="130"/>
      <c r="AR5" s="130"/>
      <c r="AS5" s="130"/>
      <c r="AT5" s="131"/>
      <c r="AU5" s="131"/>
      <c r="AV5" s="131"/>
      <c r="AW5" s="131"/>
      <c r="AX5" s="132"/>
      <c r="AY5" s="132"/>
      <c r="AZ5" s="2"/>
      <c r="BA5" s="2"/>
      <c r="BB5" s="2"/>
      <c r="BC5" s="2"/>
      <c r="BD5" s="2"/>
      <c r="BE5" s="2"/>
      <c r="BF5" s="2"/>
      <c r="BG5" s="2"/>
      <c r="BH5" s="2"/>
      <c r="BI5" s="2"/>
      <c r="BJ5" s="2"/>
    </row>
    <row r="6" spans="1:63" ht="12" customHeight="1" x14ac:dyDescent="0.25">
      <c r="A6" s="216" t="s">
        <v>201</v>
      </c>
      <c r="B6" s="217"/>
      <c r="C6" s="223"/>
      <c r="D6" s="224"/>
      <c r="E6" s="224"/>
      <c r="F6" s="224"/>
      <c r="G6" s="224"/>
      <c r="H6" s="224"/>
      <c r="I6" s="224"/>
      <c r="J6" s="224"/>
      <c r="K6" s="224"/>
      <c r="L6" s="224"/>
      <c r="M6" s="225"/>
      <c r="N6" s="48" t="s">
        <v>118</v>
      </c>
      <c r="O6" s="221"/>
      <c r="P6" s="222"/>
      <c r="Q6" s="210" t="s">
        <v>119</v>
      </c>
      <c r="R6" s="211"/>
      <c r="S6" s="226"/>
      <c r="T6" s="226"/>
      <c r="U6" s="226"/>
      <c r="V6" s="19"/>
      <c r="W6" s="19"/>
      <c r="X6" s="19"/>
      <c r="Y6" s="19"/>
      <c r="Z6" s="19"/>
      <c r="AA6" s="19"/>
      <c r="AB6" s="19"/>
      <c r="AC6" s="19"/>
      <c r="AD6" s="19"/>
      <c r="AE6" s="19"/>
      <c r="AF6" s="19"/>
      <c r="AG6" s="19"/>
      <c r="AH6" s="120"/>
      <c r="AI6" s="121"/>
      <c r="AJ6" s="133"/>
      <c r="AK6" s="134" t="s">
        <v>93</v>
      </c>
      <c r="AL6" s="135"/>
      <c r="AM6" s="133"/>
      <c r="AN6" s="134" t="s">
        <v>111</v>
      </c>
      <c r="AO6" s="135"/>
      <c r="AP6" s="130"/>
      <c r="AQ6" s="130"/>
      <c r="AR6" s="130"/>
      <c r="AS6" s="130"/>
      <c r="AT6" s="131"/>
      <c r="AU6" s="131"/>
      <c r="AV6" s="131"/>
      <c r="AW6" s="131"/>
      <c r="AX6" s="132"/>
      <c r="AY6" s="132"/>
      <c r="AZ6" s="2"/>
      <c r="BA6" s="2"/>
      <c r="BB6" s="2"/>
      <c r="BC6" s="2"/>
      <c r="BD6" s="2"/>
      <c r="BE6" s="2"/>
      <c r="BF6" s="2"/>
      <c r="BG6" s="2"/>
      <c r="BH6" s="2"/>
      <c r="BI6" s="2"/>
      <c r="BJ6" s="2"/>
    </row>
    <row r="7" spans="1:63" ht="11.25" customHeight="1" x14ac:dyDescent="0.25">
      <c r="A7" s="212" t="s">
        <v>92</v>
      </c>
      <c r="B7" s="213"/>
      <c r="C7" s="256"/>
      <c r="D7" s="257"/>
      <c r="E7" s="257"/>
      <c r="F7" s="257"/>
      <c r="G7" s="257"/>
      <c r="H7" s="257"/>
      <c r="I7" s="257"/>
      <c r="J7" s="257"/>
      <c r="K7" s="257"/>
      <c r="L7" s="257"/>
      <c r="M7" s="257"/>
      <c r="N7" s="258" t="s">
        <v>110</v>
      </c>
      <c r="O7" s="259"/>
      <c r="P7" s="260"/>
      <c r="Q7" s="183"/>
      <c r="R7" s="184"/>
      <c r="S7" s="184"/>
      <c r="T7" s="184"/>
      <c r="U7" s="109" t="s">
        <v>328</v>
      </c>
      <c r="V7" s="19"/>
      <c r="W7" s="19"/>
      <c r="X7" s="19"/>
      <c r="Y7" s="19"/>
      <c r="Z7" s="19"/>
      <c r="AA7" s="19"/>
      <c r="AB7" s="19"/>
      <c r="AC7" s="19"/>
      <c r="AD7" s="19"/>
      <c r="AE7" s="19"/>
      <c r="AF7" s="19"/>
      <c r="AG7" s="19"/>
      <c r="AH7" s="120"/>
      <c r="AI7" s="121"/>
      <c r="AJ7" s="136"/>
      <c r="AK7" s="130"/>
      <c r="AL7" s="137"/>
      <c r="AM7" s="136"/>
      <c r="AN7" s="130"/>
      <c r="AO7" s="137"/>
      <c r="AP7" s="130"/>
      <c r="AQ7" s="130"/>
      <c r="AR7" s="130"/>
      <c r="AS7" s="130"/>
      <c r="AT7" s="131"/>
      <c r="AU7" s="131"/>
      <c r="AV7" s="131"/>
      <c r="AW7" s="131"/>
      <c r="AX7" s="132"/>
      <c r="AY7" s="132"/>
      <c r="AZ7" s="2"/>
      <c r="BA7" s="2"/>
      <c r="BB7" s="2"/>
      <c r="BC7" s="2"/>
      <c r="BD7" s="2"/>
      <c r="BE7" s="2"/>
      <c r="BF7" s="2"/>
      <c r="BG7" s="2"/>
      <c r="BH7" s="2"/>
      <c r="BI7" s="2"/>
      <c r="BJ7" s="2"/>
      <c r="BK7" t="s">
        <v>209</v>
      </c>
    </row>
    <row r="8" spans="1:63" ht="12.75" customHeight="1" x14ac:dyDescent="0.25">
      <c r="A8" s="214" t="s">
        <v>204</v>
      </c>
      <c r="B8" s="215"/>
      <c r="C8" s="262"/>
      <c r="D8" s="263"/>
      <c r="E8" s="263"/>
      <c r="F8" s="263"/>
      <c r="G8" s="263"/>
      <c r="H8" s="263"/>
      <c r="I8" s="263"/>
      <c r="J8" s="263"/>
      <c r="K8" s="263"/>
      <c r="L8" s="263"/>
      <c r="M8" s="263"/>
      <c r="N8" s="210" t="s">
        <v>203</v>
      </c>
      <c r="O8" s="243"/>
      <c r="P8" s="211"/>
      <c r="Q8" s="180"/>
      <c r="R8" s="181"/>
      <c r="S8" s="181"/>
      <c r="T8" s="181"/>
      <c r="U8" s="65"/>
      <c r="V8" s="19"/>
      <c r="W8" s="19"/>
      <c r="X8" s="19"/>
      <c r="AH8" s="118"/>
      <c r="AI8" s="121"/>
      <c r="AJ8" s="138"/>
      <c r="AK8" s="139"/>
      <c r="AL8" s="140"/>
      <c r="AM8" s="138"/>
      <c r="AN8" s="139"/>
      <c r="AO8" s="140"/>
      <c r="AP8" s="130"/>
      <c r="AQ8" s="130"/>
      <c r="AR8" s="130"/>
      <c r="AS8" s="130"/>
      <c r="AT8" s="131"/>
      <c r="AU8" s="131"/>
      <c r="AV8" s="131"/>
      <c r="AW8" s="131"/>
      <c r="AX8" s="132"/>
      <c r="AY8" s="132"/>
      <c r="AZ8" s="2"/>
      <c r="BA8" s="2"/>
      <c r="BB8" s="2"/>
      <c r="BC8" s="2"/>
      <c r="BD8" s="2"/>
      <c r="BE8" s="2"/>
      <c r="BF8" s="2"/>
      <c r="BG8" s="2"/>
      <c r="BH8" s="2"/>
      <c r="BI8" s="2"/>
      <c r="BJ8" s="2"/>
      <c r="BK8" t="s">
        <v>210</v>
      </c>
    </row>
    <row r="9" spans="1:63" ht="2.25" customHeight="1" x14ac:dyDescent="0.25">
      <c r="V9" s="19"/>
      <c r="W9" s="19"/>
      <c r="X9" s="19"/>
      <c r="Y9" s="19"/>
      <c r="Z9" s="19"/>
      <c r="AA9" s="19"/>
      <c r="AB9" s="19"/>
      <c r="AC9" s="19"/>
      <c r="AD9" s="19"/>
      <c r="AE9" s="19"/>
      <c r="AF9" s="19"/>
      <c r="AG9" s="19"/>
      <c r="AH9" s="120"/>
      <c r="AI9" s="121"/>
      <c r="AJ9" s="130"/>
      <c r="AK9" s="130"/>
      <c r="AL9" s="130"/>
      <c r="AM9" s="130"/>
      <c r="AN9" s="130"/>
      <c r="AO9" s="130"/>
      <c r="AP9" s="130"/>
      <c r="AQ9" s="130"/>
      <c r="AR9" s="130"/>
      <c r="AS9" s="130"/>
      <c r="AT9" s="131"/>
      <c r="AU9" s="131"/>
      <c r="AV9" s="131"/>
      <c r="AW9" s="131"/>
      <c r="AX9" s="132"/>
      <c r="AY9" s="132"/>
      <c r="AZ9" s="2"/>
      <c r="BA9" s="2"/>
      <c r="BB9" s="2"/>
      <c r="BC9" s="2"/>
      <c r="BD9" s="2"/>
      <c r="BE9" s="2"/>
      <c r="BF9" s="2"/>
      <c r="BG9" s="2"/>
      <c r="BH9" s="2"/>
      <c r="BI9" s="2"/>
      <c r="BJ9" s="2"/>
    </row>
    <row r="10" spans="1:63" ht="14.25" customHeight="1" x14ac:dyDescent="0.25">
      <c r="A10" s="216"/>
      <c r="B10" s="217"/>
      <c r="C10" s="234"/>
      <c r="D10" s="235"/>
      <c r="E10" s="235"/>
      <c r="F10" s="235"/>
      <c r="G10" s="235"/>
      <c r="H10" s="235"/>
      <c r="I10" s="235"/>
      <c r="J10" s="236"/>
      <c r="K10" s="210" t="str">
        <f>IF(OR(T10="Cheque",T10="Boleto bancário"),"Consultar Serasa","Dinheiro")</f>
        <v>Dinheiro</v>
      </c>
      <c r="L10" s="243"/>
      <c r="M10" s="243"/>
      <c r="N10" s="243"/>
      <c r="O10" s="243"/>
      <c r="P10" s="211"/>
      <c r="Q10" s="232" t="s">
        <v>205</v>
      </c>
      <c r="R10" s="233"/>
      <c r="S10" s="233"/>
      <c r="T10" s="221" t="s">
        <v>334</v>
      </c>
      <c r="U10" s="222"/>
      <c r="V10" s="254" t="s">
        <v>336</v>
      </c>
      <c r="W10" s="255"/>
      <c r="X10" s="255"/>
      <c r="Y10" s="19"/>
      <c r="Z10" s="19"/>
      <c r="AA10" s="19"/>
      <c r="AB10" s="19"/>
      <c r="AC10" s="19"/>
      <c r="AD10" s="19"/>
      <c r="AE10" s="19"/>
      <c r="AF10" s="19"/>
      <c r="AG10" s="19"/>
      <c r="AH10" s="120"/>
      <c r="AI10" s="121"/>
      <c r="AJ10" s="130"/>
      <c r="AK10" s="130"/>
      <c r="AL10" s="130"/>
      <c r="AM10" s="130"/>
      <c r="AN10" s="130"/>
      <c r="AO10" s="130"/>
      <c r="AP10" s="130"/>
      <c r="AQ10" s="130"/>
      <c r="AR10" s="130"/>
      <c r="AS10" s="130"/>
      <c r="AT10" s="131"/>
      <c r="AU10" s="131"/>
      <c r="AV10" s="131"/>
      <c r="AW10" s="131"/>
      <c r="AX10" s="132"/>
      <c r="AY10" s="132"/>
      <c r="AZ10" s="2"/>
      <c r="BA10" s="2"/>
      <c r="BB10" s="2"/>
      <c r="BC10" s="2"/>
      <c r="BD10" s="2"/>
      <c r="BE10" s="2"/>
      <c r="BF10" s="2"/>
      <c r="BG10" s="2"/>
      <c r="BH10" s="2"/>
      <c r="BI10" s="2"/>
      <c r="BJ10" s="2"/>
    </row>
    <row r="11" spans="1:63" ht="15" customHeight="1" x14ac:dyDescent="0.25">
      <c r="A11" s="216" t="s">
        <v>207</v>
      </c>
      <c r="B11" s="217"/>
      <c r="C11" s="269">
        <f ca="1">(NOW())</f>
        <v>45981.40394178241</v>
      </c>
      <c r="D11" s="270"/>
      <c r="E11" s="216" t="s">
        <v>206</v>
      </c>
      <c r="F11" s="217"/>
      <c r="G11" s="197"/>
      <c r="H11" s="197"/>
      <c r="I11" s="197"/>
      <c r="J11" s="197"/>
      <c r="K11" s="232" t="s">
        <v>208</v>
      </c>
      <c r="L11" s="233"/>
      <c r="M11" s="233"/>
      <c r="N11" s="253">
        <v>1</v>
      </c>
      <c r="O11" s="253"/>
      <c r="P11" s="252"/>
      <c r="Q11" s="232" t="s">
        <v>10</v>
      </c>
      <c r="R11" s="233"/>
      <c r="S11" s="233"/>
      <c r="T11" s="251">
        <v>500</v>
      </c>
      <c r="U11" s="252"/>
      <c r="V11" s="19"/>
      <c r="W11" s="19"/>
      <c r="X11" s="19"/>
      <c r="Y11" s="19"/>
      <c r="Z11" s="19"/>
      <c r="AA11" s="19"/>
      <c r="AB11" s="19"/>
      <c r="AC11" s="19"/>
      <c r="AD11" s="19"/>
      <c r="AE11" s="19"/>
      <c r="AF11" s="19"/>
      <c r="AG11" s="19"/>
      <c r="AH11" s="120"/>
      <c r="AI11" s="121"/>
      <c r="AJ11" s="130"/>
      <c r="AK11" s="130"/>
      <c r="AL11" s="130"/>
      <c r="AM11" s="130"/>
      <c r="AN11" s="130"/>
      <c r="AO11" s="130"/>
      <c r="AP11" s="130"/>
      <c r="AQ11" s="130"/>
      <c r="AR11" s="130"/>
      <c r="AS11" s="130"/>
      <c r="AT11" s="131"/>
      <c r="AU11" s="131"/>
      <c r="AV11" s="131"/>
      <c r="AW11" s="131"/>
      <c r="AX11" s="132"/>
      <c r="AY11" s="132"/>
      <c r="AZ11" s="2"/>
      <c r="BA11" s="2"/>
      <c r="BB11" s="2"/>
      <c r="BC11" s="2"/>
      <c r="BD11" s="2"/>
      <c r="BE11" s="2"/>
      <c r="BF11" s="2"/>
      <c r="BG11" s="2"/>
      <c r="BH11" s="2"/>
      <c r="BI11" s="2"/>
      <c r="BJ11" s="2"/>
    </row>
    <row r="12" spans="1:63" ht="1.5" customHeight="1" x14ac:dyDescent="0.25">
      <c r="A12" s="264"/>
      <c r="B12" s="265"/>
      <c r="C12" s="265"/>
      <c r="D12" s="265"/>
      <c r="E12" s="265"/>
      <c r="F12" s="265"/>
      <c r="G12" s="265"/>
      <c r="H12" s="265"/>
      <c r="I12" s="265"/>
      <c r="J12" s="265"/>
      <c r="K12" s="265"/>
      <c r="L12" s="265"/>
      <c r="M12" s="265"/>
      <c r="N12" s="265"/>
      <c r="O12" s="265"/>
      <c r="P12" s="265"/>
      <c r="Q12" s="265"/>
      <c r="R12" s="265"/>
      <c r="S12" s="265"/>
      <c r="T12" s="265"/>
      <c r="U12" s="266"/>
      <c r="V12" s="19"/>
      <c r="W12" s="19"/>
      <c r="X12" s="19"/>
      <c r="Y12" s="19"/>
      <c r="Z12" s="19"/>
      <c r="AA12" s="19"/>
      <c r="AB12" s="19"/>
      <c r="AC12" s="19"/>
      <c r="AD12" s="19"/>
      <c r="AE12" s="19"/>
      <c r="AF12" s="19"/>
      <c r="AG12" s="19"/>
      <c r="AH12" s="120"/>
      <c r="AI12" s="121"/>
      <c r="AJ12" s="130"/>
      <c r="AK12" s="130"/>
      <c r="AL12" s="130"/>
      <c r="AM12" s="130"/>
      <c r="AN12" s="130"/>
      <c r="AO12" s="130"/>
      <c r="AP12" s="130"/>
      <c r="AQ12" s="130"/>
      <c r="AR12" s="130"/>
      <c r="AS12" s="130"/>
      <c r="AT12" s="131"/>
      <c r="AU12" s="131"/>
      <c r="AV12" s="131"/>
      <c r="AW12" s="131"/>
      <c r="AX12" s="132"/>
      <c r="AY12" s="132"/>
      <c r="AZ12" s="2"/>
      <c r="BA12" s="2"/>
      <c r="BB12" s="2"/>
      <c r="BC12" s="2"/>
      <c r="BD12" s="2"/>
      <c r="BE12" s="2"/>
      <c r="BF12" s="2"/>
      <c r="BG12" s="2"/>
      <c r="BH12" s="2"/>
      <c r="BI12" s="2"/>
      <c r="BJ12" s="2"/>
    </row>
    <row r="13" spans="1:63" ht="18" hidden="1" customHeight="1" x14ac:dyDescent="0.25">
      <c r="V13" s="19"/>
      <c r="W13" s="19"/>
      <c r="X13" s="19"/>
      <c r="Y13" s="19"/>
      <c r="Z13" s="19"/>
      <c r="AA13" s="19"/>
      <c r="AB13" s="19"/>
      <c r="AC13" s="19"/>
      <c r="AD13" s="19"/>
      <c r="AE13" s="19"/>
      <c r="AF13" s="19"/>
      <c r="AG13" s="19"/>
      <c r="AH13" s="120"/>
      <c r="AI13" s="121"/>
      <c r="AJ13" s="130"/>
      <c r="AK13" s="130"/>
      <c r="AL13" s="130"/>
      <c r="AM13" s="130"/>
      <c r="AN13" s="130"/>
      <c r="AO13" s="130"/>
      <c r="AP13" s="130"/>
      <c r="AQ13" s="130"/>
      <c r="AR13" s="130"/>
      <c r="AS13" s="130"/>
      <c r="AT13" s="131"/>
      <c r="AU13" s="131"/>
      <c r="AV13" s="131"/>
      <c r="AW13" s="131"/>
      <c r="AX13" s="132"/>
      <c r="AY13" s="132"/>
      <c r="AZ13" s="2"/>
      <c r="BA13" s="2"/>
      <c r="BB13" s="2"/>
      <c r="BC13" s="2"/>
      <c r="BD13" s="2"/>
      <c r="BE13" s="2"/>
      <c r="BF13" s="2"/>
      <c r="BG13" s="2"/>
      <c r="BH13" s="2"/>
      <c r="BI13" s="2"/>
      <c r="BJ13" s="2"/>
    </row>
    <row r="14" spans="1:63" ht="2.25" customHeight="1" x14ac:dyDescent="0.25">
      <c r="A14" s="281"/>
      <c r="B14" s="282"/>
      <c r="C14" s="282"/>
      <c r="D14" s="282"/>
      <c r="E14" s="282"/>
      <c r="F14" s="282"/>
      <c r="G14" s="282"/>
      <c r="H14" s="282"/>
      <c r="I14" s="282"/>
      <c r="J14" s="282"/>
      <c r="K14" s="282"/>
      <c r="L14" s="282"/>
      <c r="M14" s="282"/>
      <c r="N14" s="282"/>
      <c r="O14" s="282"/>
      <c r="P14" s="282"/>
      <c r="Q14" s="282"/>
      <c r="R14" s="282"/>
      <c r="S14" s="282"/>
      <c r="T14" s="282"/>
      <c r="U14" s="283"/>
      <c r="V14" s="19"/>
      <c r="W14" s="19"/>
      <c r="X14" s="19"/>
      <c r="Y14" s="19"/>
      <c r="Z14" s="19"/>
      <c r="AA14" s="19"/>
      <c r="AB14" s="19"/>
      <c r="AC14" s="19"/>
      <c r="AD14" s="19"/>
      <c r="AE14" s="19"/>
      <c r="AF14" s="19"/>
      <c r="AG14" s="19"/>
      <c r="AH14" s="120"/>
      <c r="AI14" s="121"/>
      <c r="AJ14" s="130"/>
      <c r="AK14" s="130"/>
      <c r="AL14" s="130"/>
      <c r="AM14" s="130"/>
      <c r="AN14" s="130"/>
      <c r="AO14" s="130"/>
      <c r="AP14" s="130"/>
      <c r="AQ14" s="130"/>
      <c r="AR14" s="130"/>
      <c r="AS14" s="130"/>
      <c r="AT14" s="131"/>
      <c r="AU14" s="131"/>
      <c r="AV14" s="131"/>
      <c r="AW14" s="131"/>
      <c r="AX14" s="132"/>
      <c r="AY14" s="132"/>
      <c r="AZ14" s="2"/>
      <c r="BA14" s="2"/>
      <c r="BB14" s="2"/>
      <c r="BC14" s="2"/>
      <c r="BD14" s="2"/>
      <c r="BE14" s="2"/>
      <c r="BF14" s="2"/>
      <c r="BG14" s="2"/>
      <c r="BH14" s="2"/>
      <c r="BI14" s="2"/>
      <c r="BJ14" s="2"/>
    </row>
    <row r="15" spans="1:63" ht="12.75" customHeight="1" x14ac:dyDescent="0.25">
      <c r="A15" s="284" t="s">
        <v>107</v>
      </c>
      <c r="B15" s="285"/>
      <c r="C15" s="267" t="s">
        <v>112</v>
      </c>
      <c r="D15" s="268"/>
      <c r="E15" s="293">
        <f>valor_total/milheiros</f>
        <v>14.081016000000002</v>
      </c>
      <c r="F15" s="294"/>
      <c r="G15" s="294"/>
      <c r="H15" s="249" t="s">
        <v>113</v>
      </c>
      <c r="I15" s="249"/>
      <c r="J15" s="249"/>
      <c r="K15" s="245">
        <f>valor_total/metros</f>
        <v>0.56324064000000007</v>
      </c>
      <c r="L15" s="246"/>
      <c r="M15" s="244" t="s">
        <v>114</v>
      </c>
      <c r="N15" s="244"/>
      <c r="O15" s="186">
        <f>IF(larg_calc=60,1.49,1)*(CÁLCULO!A16)*(IF(U16="",1,(IF(U15="+",(1+U16%),(1-U16%))))*(IF(S25="sim",perc_ultrassonico,1)))*V41*perc_aumento_geral</f>
        <v>1.4081016000000002E-2</v>
      </c>
      <c r="P15" s="187"/>
      <c r="Q15" s="244" t="s">
        <v>115</v>
      </c>
      <c r="R15" s="244"/>
      <c r="S15" s="277">
        <f>O15*M20</f>
        <v>281.62032000000005</v>
      </c>
      <c r="T15" s="278"/>
      <c r="U15" s="64" t="s">
        <v>209</v>
      </c>
      <c r="V15" s="19"/>
      <c r="W15" s="19"/>
      <c r="X15" s="19"/>
      <c r="Y15" s="19"/>
      <c r="Z15" s="19"/>
      <c r="AA15" s="19"/>
      <c r="AB15" s="19"/>
      <c r="AC15" s="19"/>
      <c r="AD15" s="19"/>
      <c r="AE15" s="19"/>
      <c r="AF15" s="19"/>
      <c r="AG15" s="19"/>
      <c r="AH15" s="120"/>
      <c r="AI15" s="121"/>
      <c r="AJ15" s="130"/>
      <c r="AK15" s="130"/>
      <c r="AL15" s="130"/>
      <c r="AM15" s="130"/>
      <c r="AN15" s="130"/>
      <c r="AO15" s="130"/>
      <c r="AP15" s="130"/>
      <c r="AQ15" s="130"/>
      <c r="AR15" s="130"/>
      <c r="AS15" s="130"/>
      <c r="AT15" s="131"/>
      <c r="AU15" s="131"/>
      <c r="AV15" s="131"/>
      <c r="AW15" s="131"/>
      <c r="AX15" s="132"/>
      <c r="AY15" s="132"/>
      <c r="AZ15" s="2"/>
      <c r="BA15" s="2"/>
      <c r="BB15" s="2"/>
      <c r="BC15" s="2"/>
      <c r="BD15" s="2"/>
      <c r="BE15" s="2"/>
      <c r="BF15" s="2"/>
      <c r="BG15" s="2"/>
      <c r="BH15" s="2"/>
      <c r="BI15" s="2"/>
      <c r="BJ15" s="2"/>
    </row>
    <row r="16" spans="1:63" ht="12" customHeight="1" x14ac:dyDescent="0.25">
      <c r="A16" s="286"/>
      <c r="B16" s="287"/>
      <c r="C16" s="219"/>
      <c r="D16" s="220"/>
      <c r="E16" s="295"/>
      <c r="F16" s="296"/>
      <c r="G16" s="296"/>
      <c r="H16" s="250"/>
      <c r="I16" s="250"/>
      <c r="J16" s="250"/>
      <c r="K16" s="247"/>
      <c r="L16" s="248"/>
      <c r="M16" s="244"/>
      <c r="N16" s="244"/>
      <c r="O16" s="188"/>
      <c r="P16" s="189"/>
      <c r="Q16" s="244"/>
      <c r="R16" s="244"/>
      <c r="S16" s="279"/>
      <c r="T16" s="280"/>
      <c r="U16" s="63"/>
      <c r="V16" s="19"/>
      <c r="W16" s="19"/>
      <c r="X16" s="19"/>
      <c r="Z16" s="19"/>
      <c r="AA16" s="19"/>
      <c r="AB16" s="19"/>
      <c r="AC16" s="19"/>
      <c r="AD16" s="19"/>
      <c r="AE16" s="19">
        <f>(IF(S25="sim",perc_ultrassonico,1))</f>
        <v>1</v>
      </c>
      <c r="AF16" s="19"/>
      <c r="AG16" s="19"/>
      <c r="AH16" s="120"/>
      <c r="AI16" s="121"/>
      <c r="AJ16" s="175" t="s">
        <v>126</v>
      </c>
      <c r="AK16" s="176"/>
      <c r="AL16" s="177"/>
      <c r="AM16" s="175" t="s">
        <v>333</v>
      </c>
      <c r="AN16" s="176"/>
      <c r="AO16" s="177"/>
      <c r="AP16" s="130"/>
      <c r="AQ16" s="130"/>
      <c r="AR16" s="130"/>
      <c r="AS16" s="130"/>
      <c r="AT16" s="131"/>
      <c r="AU16" s="131"/>
      <c r="AV16" s="131"/>
      <c r="AW16" s="131"/>
      <c r="AX16" s="132"/>
      <c r="AY16" s="132"/>
      <c r="AZ16" s="2"/>
      <c r="BA16" s="2"/>
      <c r="BB16" s="2"/>
      <c r="BC16" s="2"/>
      <c r="BD16" s="2"/>
      <c r="BE16" s="2"/>
      <c r="BF16" s="2"/>
      <c r="BG16" s="2"/>
      <c r="BH16" s="2"/>
      <c r="BI16" s="2"/>
      <c r="BJ16" s="2"/>
    </row>
    <row r="17" spans="1:62" ht="9" customHeight="1" x14ac:dyDescent="0.25">
      <c r="A17" s="291" t="s">
        <v>162</v>
      </c>
      <c r="B17" s="292"/>
      <c r="C17" s="292"/>
      <c r="D17" s="292"/>
      <c r="E17" s="292"/>
      <c r="F17" s="292"/>
      <c r="G17" s="292"/>
      <c r="H17" s="292"/>
      <c r="I17" s="292"/>
      <c r="J17" s="292"/>
      <c r="K17" s="292"/>
      <c r="L17" s="292"/>
      <c r="M17" s="292"/>
      <c r="N17" s="292"/>
      <c r="O17" s="292"/>
      <c r="P17" s="292"/>
      <c r="Q17" s="292"/>
      <c r="R17" s="292"/>
      <c r="S17" s="292"/>
      <c r="T17" s="292"/>
      <c r="U17" s="68" t="s">
        <v>340</v>
      </c>
      <c r="V17" s="19"/>
      <c r="W17" s="19"/>
      <c r="X17" s="19"/>
      <c r="Y17" s="19"/>
      <c r="Z17" s="19"/>
      <c r="AA17" s="19"/>
      <c r="AB17" s="19"/>
      <c r="AD17" s="126"/>
      <c r="AE17" s="19"/>
      <c r="AF17" s="19"/>
      <c r="AG17" s="19"/>
      <c r="AH17" s="120"/>
      <c r="AI17" s="121"/>
      <c r="AJ17" s="133"/>
      <c r="AK17" s="134" t="s">
        <v>121</v>
      </c>
      <c r="AL17" s="135"/>
      <c r="AM17" s="133"/>
      <c r="AN17" s="134" t="s">
        <v>334</v>
      </c>
      <c r="AO17" s="135"/>
      <c r="AP17" s="130"/>
      <c r="AQ17" s="130"/>
      <c r="AR17" s="130"/>
      <c r="AS17" s="130"/>
      <c r="AT17" s="131"/>
      <c r="AU17" s="131"/>
      <c r="AV17" s="131"/>
      <c r="AW17" s="131"/>
      <c r="AX17" s="132"/>
      <c r="AY17" s="132"/>
      <c r="AZ17" s="2"/>
      <c r="BA17" s="2"/>
      <c r="BB17" s="2"/>
      <c r="BC17" s="2"/>
      <c r="BD17" s="2"/>
      <c r="BE17" s="2"/>
      <c r="BF17" s="2"/>
      <c r="BG17" s="2"/>
      <c r="BH17" s="2"/>
      <c r="BI17" s="2"/>
      <c r="BJ17" s="2"/>
    </row>
    <row r="18" spans="1:62" ht="9.75" customHeight="1" x14ac:dyDescent="0.25">
      <c r="A18" s="288"/>
      <c r="B18" s="194"/>
      <c r="C18" s="196" t="s">
        <v>95</v>
      </c>
      <c r="D18" s="196"/>
      <c r="E18" s="196"/>
      <c r="F18" s="51" t="s">
        <v>120</v>
      </c>
      <c r="G18" s="196" t="s">
        <v>94</v>
      </c>
      <c r="H18" s="196"/>
      <c r="I18" s="196"/>
      <c r="J18" s="196"/>
      <c r="K18" s="196" t="s">
        <v>96</v>
      </c>
      <c r="L18" s="196"/>
      <c r="M18" s="196"/>
      <c r="N18" s="196"/>
      <c r="O18" s="196"/>
      <c r="P18" s="51"/>
      <c r="Q18" s="196" t="s">
        <v>185</v>
      </c>
      <c r="R18" s="196"/>
      <c r="S18" s="196"/>
      <c r="T18" s="196"/>
      <c r="U18" s="356"/>
      <c r="V18" s="19"/>
      <c r="W18" s="19"/>
      <c r="X18" s="19"/>
      <c r="Y18" s="19"/>
      <c r="Z18" s="19"/>
      <c r="AA18" s="19"/>
      <c r="AB18" s="19"/>
      <c r="AD18" s="126"/>
      <c r="AE18" s="19"/>
      <c r="AF18" s="19"/>
      <c r="AG18" s="19"/>
      <c r="AH18" s="120"/>
      <c r="AI18" s="121"/>
      <c r="AJ18" s="133"/>
      <c r="AK18" s="134" t="s">
        <v>122</v>
      </c>
      <c r="AL18" s="135"/>
      <c r="AM18" s="133"/>
      <c r="AN18" s="134" t="s">
        <v>332</v>
      </c>
      <c r="AO18" s="135"/>
      <c r="AP18" s="130"/>
      <c r="AQ18" s="130"/>
      <c r="AR18" s="130"/>
      <c r="AS18" s="130"/>
      <c r="AT18" s="131"/>
      <c r="AU18" s="131"/>
      <c r="AV18" s="131"/>
      <c r="AW18" s="131"/>
      <c r="AX18" s="132"/>
      <c r="AY18" s="132"/>
      <c r="AZ18" s="2"/>
      <c r="BA18" s="2"/>
      <c r="BB18" s="2"/>
      <c r="BC18" s="2"/>
      <c r="BD18" s="2"/>
      <c r="BE18" s="2"/>
      <c r="BF18" s="2"/>
      <c r="BG18" s="2"/>
      <c r="BH18" s="2"/>
      <c r="BI18" s="2"/>
      <c r="BJ18" s="2"/>
    </row>
    <row r="19" spans="1:62" ht="18" customHeight="1" x14ac:dyDescent="0.25">
      <c r="A19" s="288"/>
      <c r="B19" s="194"/>
      <c r="C19" s="322" t="s">
        <v>376</v>
      </c>
      <c r="D19" s="323"/>
      <c r="E19" s="324"/>
      <c r="F19" s="112">
        <f>U3</f>
        <v>0</v>
      </c>
      <c r="G19" s="313"/>
      <c r="H19" s="314"/>
      <c r="I19" s="314"/>
      <c r="J19" s="315"/>
      <c r="K19" s="271" t="s">
        <v>103</v>
      </c>
      <c r="L19" s="272"/>
      <c r="M19" s="183">
        <v>500</v>
      </c>
      <c r="N19" s="184"/>
      <c r="O19" s="184"/>
      <c r="P19" s="190"/>
      <c r="Q19" s="352" t="str">
        <f>IF(S23="CORTE ESPECIAL ","segundos","")</f>
        <v/>
      </c>
      <c r="R19" s="353"/>
      <c r="S19" s="310" t="s">
        <v>180</v>
      </c>
      <c r="T19" s="310"/>
      <c r="U19" s="58" t="s">
        <v>187</v>
      </c>
      <c r="V19" s="19"/>
      <c r="W19" s="19"/>
      <c r="X19" s="147"/>
      <c r="Y19" s="19"/>
      <c r="Z19" s="19"/>
      <c r="AA19" s="19"/>
      <c r="AB19" s="19"/>
      <c r="AC19" s="147"/>
      <c r="AD19" s="126"/>
      <c r="AE19" s="19"/>
      <c r="AF19" s="19"/>
      <c r="AG19" s="19"/>
      <c r="AH19" s="120"/>
      <c r="AI19" s="121"/>
      <c r="AJ19" s="136"/>
      <c r="AK19" s="130" t="s">
        <v>261</v>
      </c>
      <c r="AL19" s="137"/>
      <c r="AM19" s="136"/>
      <c r="AN19" s="134" t="s">
        <v>335</v>
      </c>
      <c r="AO19" s="137"/>
      <c r="AP19" s="130"/>
      <c r="AQ19" s="130"/>
      <c r="AR19" s="130"/>
      <c r="AS19" s="130"/>
      <c r="AT19" s="131"/>
      <c r="AU19" s="131"/>
      <c r="AV19" s="131"/>
      <c r="AW19" s="131"/>
      <c r="AX19" s="132"/>
      <c r="AY19" s="132"/>
      <c r="AZ19" s="2"/>
      <c r="BA19" s="2"/>
      <c r="BB19" s="2"/>
      <c r="BC19" s="2"/>
      <c r="BD19" s="2"/>
      <c r="BE19" s="2"/>
      <c r="BF19" s="2"/>
      <c r="BG19" s="2"/>
      <c r="BH19" s="2"/>
      <c r="BI19" s="2"/>
      <c r="BJ19" s="2"/>
    </row>
    <row r="20" spans="1:62" ht="17.25" customHeight="1" x14ac:dyDescent="0.25">
      <c r="A20" s="288"/>
      <c r="B20" s="194"/>
      <c r="C20" s="196" t="s">
        <v>106</v>
      </c>
      <c r="D20" s="196"/>
      <c r="E20" s="196"/>
      <c r="F20" s="196"/>
      <c r="G20" s="316"/>
      <c r="H20" s="317"/>
      <c r="I20" s="317"/>
      <c r="J20" s="318"/>
      <c r="K20" s="271" t="s">
        <v>102</v>
      </c>
      <c r="L20" s="272"/>
      <c r="M20" s="191">
        <f>CÁLCULO!D16</f>
        <v>20000</v>
      </c>
      <c r="N20" s="192"/>
      <c r="O20" s="192"/>
      <c r="P20" s="193"/>
      <c r="Q20" s="297"/>
      <c r="R20" s="297"/>
      <c r="S20" s="297"/>
      <c r="T20" s="297"/>
      <c r="U20" s="57"/>
      <c r="V20" s="19"/>
      <c r="W20" s="19"/>
      <c r="X20" s="19"/>
      <c r="Y20" s="19"/>
      <c r="Z20" s="19"/>
      <c r="AA20" s="19"/>
      <c r="AB20" s="19"/>
      <c r="AC20" s="19"/>
      <c r="AD20" s="126"/>
      <c r="AE20" s="19"/>
      <c r="AF20" s="19"/>
      <c r="AG20" s="19"/>
      <c r="AH20" s="120"/>
      <c r="AI20" s="121"/>
      <c r="AJ20" s="138"/>
      <c r="AK20" s="139"/>
      <c r="AL20" s="140"/>
      <c r="AM20" s="138"/>
      <c r="AN20" s="139" t="s">
        <v>211</v>
      </c>
      <c r="AO20" s="140"/>
      <c r="AP20" s="130"/>
      <c r="AQ20" s="130"/>
      <c r="AR20" s="130"/>
      <c r="AS20" s="130"/>
      <c r="AT20" s="131"/>
      <c r="AU20" s="131"/>
      <c r="AV20" s="131"/>
      <c r="AW20" s="131"/>
      <c r="AX20" s="132"/>
      <c r="AY20" s="132"/>
      <c r="AZ20" s="2"/>
      <c r="BA20" s="2"/>
      <c r="BB20" s="2"/>
      <c r="BC20" s="2"/>
      <c r="BD20" s="2"/>
      <c r="BE20" s="2"/>
      <c r="BF20" s="2"/>
      <c r="BG20" s="2"/>
      <c r="BH20" s="2"/>
      <c r="BI20" s="2"/>
      <c r="BJ20" s="2"/>
    </row>
    <row r="21" spans="1:62" ht="17.25" customHeight="1" x14ac:dyDescent="0.25">
      <c r="A21" s="289"/>
      <c r="B21" s="290"/>
      <c r="C21" s="311" t="s">
        <v>377</v>
      </c>
      <c r="D21" s="312"/>
      <c r="E21" s="312"/>
      <c r="F21" s="312"/>
      <c r="G21" s="319"/>
      <c r="H21" s="320"/>
      <c r="I21" s="320"/>
      <c r="J21" s="321"/>
      <c r="K21" s="271" t="s">
        <v>104</v>
      </c>
      <c r="L21" s="272"/>
      <c r="M21" s="281">
        <f>ROUNDDOWN((M20/1000),2)</f>
        <v>20</v>
      </c>
      <c r="N21" s="282"/>
      <c r="O21" s="282"/>
      <c r="P21" s="283"/>
      <c r="Q21" s="210"/>
      <c r="R21" s="243"/>
      <c r="S21" s="243"/>
      <c r="T21" s="243"/>
      <c r="U21" s="243"/>
      <c r="V21" s="19"/>
      <c r="W21" s="19"/>
      <c r="X21" s="19"/>
      <c r="Y21" s="19"/>
      <c r="AA21" s="19"/>
      <c r="AB21" s="19"/>
      <c r="AC21" s="19"/>
      <c r="AD21" s="19"/>
      <c r="AE21" s="19"/>
      <c r="AF21" s="19"/>
      <c r="AG21" s="19"/>
      <c r="AH21" s="120"/>
      <c r="AI21" s="121"/>
      <c r="AJ21" s="130"/>
      <c r="AK21" s="130"/>
      <c r="AL21" s="130"/>
      <c r="AM21" s="130"/>
      <c r="AN21" s="130"/>
      <c r="AO21" s="130"/>
      <c r="AP21" s="130"/>
      <c r="AQ21" s="130"/>
      <c r="AR21" s="130"/>
      <c r="AS21" s="130"/>
      <c r="AT21" s="131"/>
      <c r="AU21" s="131"/>
      <c r="AV21" s="131"/>
      <c r="AW21" s="131"/>
      <c r="AX21" s="132"/>
      <c r="AY21" s="132"/>
      <c r="AZ21" s="2"/>
      <c r="BA21" s="2"/>
      <c r="BB21" s="2"/>
      <c r="BC21" s="2"/>
      <c r="BD21" s="2"/>
      <c r="BE21" s="2"/>
      <c r="BF21" s="2"/>
      <c r="BG21" s="2"/>
      <c r="BH21" s="2"/>
      <c r="BI21" s="2"/>
      <c r="BJ21" s="2"/>
    </row>
    <row r="22" spans="1:62" ht="9.75" customHeight="1" x14ac:dyDescent="0.25">
      <c r="A22" s="200" t="s">
        <v>97</v>
      </c>
      <c r="B22" s="273"/>
      <c r="C22" s="273"/>
      <c r="D22" s="71"/>
      <c r="E22" s="273" t="s">
        <v>98</v>
      </c>
      <c r="F22" s="273"/>
      <c r="G22" s="273"/>
      <c r="H22" s="273"/>
      <c r="I22" s="273"/>
      <c r="J22" s="273" t="s">
        <v>216</v>
      </c>
      <c r="K22" s="273"/>
      <c r="L22" s="273"/>
      <c r="M22" s="273"/>
      <c r="N22" s="273"/>
      <c r="O22" s="273" t="s">
        <v>219</v>
      </c>
      <c r="P22" s="273"/>
      <c r="Q22" s="273"/>
      <c r="R22" s="273"/>
      <c r="S22" s="273" t="s">
        <v>101</v>
      </c>
      <c r="T22" s="273"/>
      <c r="U22" s="201"/>
      <c r="V22" s="19"/>
      <c r="W22" s="19"/>
      <c r="X22" s="19"/>
      <c r="Y22" s="19"/>
      <c r="Z22" s="19"/>
      <c r="AA22" s="19"/>
      <c r="AB22" s="19"/>
      <c r="AC22" s="19"/>
      <c r="AD22" s="19"/>
      <c r="AE22" s="19"/>
      <c r="AF22" s="19"/>
      <c r="AG22" s="19"/>
      <c r="AH22" s="120"/>
      <c r="AI22" s="121"/>
      <c r="AJ22" s="130"/>
      <c r="AK22" s="130"/>
      <c r="AL22" s="130"/>
      <c r="AM22" s="130"/>
      <c r="AN22" s="130"/>
      <c r="AO22" s="130"/>
      <c r="AP22" s="130"/>
      <c r="AQ22" s="130"/>
      <c r="AR22" s="130"/>
      <c r="AS22" s="130"/>
      <c r="AT22" s="131"/>
      <c r="AU22" s="131"/>
      <c r="AV22" s="131"/>
      <c r="AW22" s="131"/>
      <c r="AX22" s="132"/>
      <c r="AY22" s="132"/>
      <c r="AZ22" s="2"/>
      <c r="BA22" s="2"/>
      <c r="BB22" s="2"/>
      <c r="BC22" s="2"/>
      <c r="BD22" s="2"/>
      <c r="BE22" s="2"/>
      <c r="BF22" s="2"/>
      <c r="BG22" s="2"/>
      <c r="BH22" s="2"/>
      <c r="BI22" s="2"/>
      <c r="BJ22" s="2"/>
    </row>
    <row r="23" spans="1:62" ht="17.25" customHeight="1" x14ac:dyDescent="0.25">
      <c r="A23" s="328" t="s">
        <v>265</v>
      </c>
      <c r="B23" s="366"/>
      <c r="C23" s="298">
        <v>10</v>
      </c>
      <c r="D23" s="299"/>
      <c r="E23" s="274" t="s">
        <v>140</v>
      </c>
      <c r="F23" s="305"/>
      <c r="G23" s="305"/>
      <c r="H23" s="305"/>
      <c r="I23" s="306"/>
      <c r="J23" s="274" t="s">
        <v>214</v>
      </c>
      <c r="K23" s="305"/>
      <c r="L23" s="305"/>
      <c r="M23" s="305"/>
      <c r="N23" s="306"/>
      <c r="O23" s="305" t="s">
        <v>260</v>
      </c>
      <c r="P23" s="275"/>
      <c r="Q23" s="275"/>
      <c r="R23" s="276"/>
      <c r="S23" s="354" t="s">
        <v>28</v>
      </c>
      <c r="T23" s="355"/>
      <c r="U23" s="355"/>
      <c r="V23" s="19"/>
      <c r="W23" s="19"/>
      <c r="X23" s="19"/>
      <c r="Y23" s="19"/>
      <c r="Z23" s="19"/>
      <c r="AA23" s="19"/>
      <c r="AB23" s="19"/>
      <c r="AC23" s="19"/>
      <c r="AD23" s="19"/>
      <c r="AE23" s="19"/>
      <c r="AF23" s="19"/>
      <c r="AG23" s="19"/>
      <c r="AH23" s="120"/>
      <c r="AI23" s="121"/>
      <c r="AJ23" s="130"/>
      <c r="AK23" s="130"/>
      <c r="AL23" s="130"/>
      <c r="AM23" s="130"/>
      <c r="AN23" s="130"/>
      <c r="AO23" s="130"/>
      <c r="AP23" s="130"/>
      <c r="AQ23" s="130"/>
      <c r="AR23" s="130"/>
      <c r="AS23" s="130"/>
      <c r="AT23" s="131"/>
      <c r="AU23" s="131"/>
      <c r="AV23" s="131"/>
      <c r="AW23" s="131"/>
      <c r="AX23" s="132"/>
      <c r="AY23" s="132"/>
      <c r="AZ23" s="2"/>
      <c r="BA23" s="2"/>
      <c r="BB23" s="2"/>
      <c r="BC23" s="2"/>
      <c r="BD23" s="2"/>
      <c r="BE23" s="2"/>
      <c r="BF23" s="2"/>
      <c r="BG23" s="2"/>
      <c r="BH23" s="2"/>
      <c r="BI23" s="2"/>
      <c r="BJ23" s="2"/>
    </row>
    <row r="24" spans="1:62" ht="12.75" customHeight="1" x14ac:dyDescent="0.25">
      <c r="A24" s="328" t="s">
        <v>264</v>
      </c>
      <c r="B24" s="328"/>
      <c r="C24" s="251">
        <v>10</v>
      </c>
      <c r="D24" s="252"/>
      <c r="E24" s="307"/>
      <c r="F24" s="307"/>
      <c r="G24" s="307"/>
      <c r="H24" s="307"/>
      <c r="I24" s="308"/>
      <c r="J24" s="309"/>
      <c r="K24" s="307"/>
      <c r="L24" s="307"/>
      <c r="M24" s="307"/>
      <c r="N24" s="308"/>
      <c r="O24" s="273" t="s">
        <v>100</v>
      </c>
      <c r="P24" s="273"/>
      <c r="Q24" s="273"/>
      <c r="R24" s="273"/>
      <c r="S24" s="273" t="s">
        <v>269</v>
      </c>
      <c r="T24" s="273"/>
      <c r="U24" s="273"/>
      <c r="V24" s="19"/>
      <c r="W24" s="19"/>
      <c r="X24" s="19"/>
      <c r="Y24" s="19"/>
      <c r="Z24" s="19"/>
      <c r="AA24" s="19"/>
      <c r="AB24" s="19"/>
      <c r="AC24" s="19"/>
      <c r="AD24" s="19"/>
      <c r="AE24" s="19"/>
      <c r="AF24" s="19"/>
      <c r="AG24" s="19"/>
      <c r="AH24" s="120"/>
      <c r="AI24" s="121"/>
      <c r="AJ24" s="175" t="s">
        <v>186</v>
      </c>
      <c r="AK24" s="176"/>
      <c r="AL24" s="177"/>
      <c r="AM24" s="175" t="s">
        <v>123</v>
      </c>
      <c r="AN24" s="176"/>
      <c r="AO24" s="177"/>
      <c r="AP24" s="130"/>
      <c r="AQ24" s="130"/>
      <c r="AR24" s="130"/>
      <c r="AS24" s="130"/>
      <c r="AT24" s="131"/>
      <c r="AU24" s="131"/>
      <c r="AV24" s="131"/>
      <c r="AW24" s="131"/>
      <c r="AX24" s="132"/>
      <c r="AY24" s="132"/>
      <c r="AZ24" s="2"/>
      <c r="BA24" s="2"/>
      <c r="BB24" s="2"/>
      <c r="BC24" s="2"/>
      <c r="BD24" s="2"/>
      <c r="BE24" s="2"/>
      <c r="BF24" s="2"/>
      <c r="BG24" s="2"/>
      <c r="BH24" s="2"/>
      <c r="BI24" s="2"/>
      <c r="BJ24" s="2"/>
    </row>
    <row r="25" spans="1:62" ht="17.25" customHeight="1" x14ac:dyDescent="0.35">
      <c r="A25" s="362" t="s">
        <v>99</v>
      </c>
      <c r="B25" s="363"/>
      <c r="C25" s="360">
        <v>25</v>
      </c>
      <c r="D25" s="361"/>
      <c r="E25" s="325" t="s">
        <v>140</v>
      </c>
      <c r="F25" s="347"/>
      <c r="G25" s="347"/>
      <c r="H25" s="347"/>
      <c r="I25" s="348"/>
      <c r="J25" s="349" t="s">
        <v>215</v>
      </c>
      <c r="K25" s="350"/>
      <c r="L25" s="350"/>
      <c r="M25" s="350"/>
      <c r="N25" s="351"/>
      <c r="O25" s="274" t="s">
        <v>191</v>
      </c>
      <c r="P25" s="275"/>
      <c r="Q25" s="275"/>
      <c r="R25" s="276"/>
      <c r="S25" s="325" t="s">
        <v>122</v>
      </c>
      <c r="T25" s="326"/>
      <c r="U25" s="327"/>
      <c r="V25" s="254" t="s">
        <v>336</v>
      </c>
      <c r="W25" s="255"/>
      <c r="X25" s="255"/>
      <c r="Z25" s="19"/>
      <c r="AA25" s="19"/>
      <c r="AB25" s="148"/>
      <c r="AC25" s="19"/>
      <c r="AD25" s="19"/>
      <c r="AE25" s="19"/>
      <c r="AF25" s="19"/>
      <c r="AG25" s="19"/>
      <c r="AH25" s="120"/>
      <c r="AI25" s="121"/>
      <c r="AJ25" s="133"/>
      <c r="AK25" s="134" t="s">
        <v>121</v>
      </c>
      <c r="AL25" s="135"/>
      <c r="AM25" s="133"/>
      <c r="AN25" s="134" t="s">
        <v>124</v>
      </c>
      <c r="AO25" s="135"/>
      <c r="AP25" s="130"/>
      <c r="AQ25" s="130"/>
      <c r="AR25" s="130"/>
      <c r="AS25" s="130"/>
      <c r="AT25" s="131"/>
      <c r="AU25" s="131"/>
      <c r="AV25" s="131"/>
      <c r="AW25" s="131"/>
      <c r="AX25" s="132"/>
      <c r="AY25" s="132"/>
      <c r="AZ25" s="2"/>
      <c r="BA25" s="2"/>
      <c r="BB25" s="2"/>
      <c r="BC25" s="2"/>
      <c r="BD25" s="2"/>
      <c r="BE25" s="2"/>
      <c r="BF25" s="2"/>
      <c r="BG25" s="2"/>
      <c r="BH25" s="2"/>
      <c r="BI25" s="2"/>
      <c r="BJ25" s="2"/>
    </row>
    <row r="26" spans="1:62" ht="21.75" customHeight="1" x14ac:dyDescent="0.25">
      <c r="A26" s="344" t="s">
        <v>331</v>
      </c>
      <c r="B26" s="345"/>
      <c r="C26" s="303">
        <f ca="1">C11+28</f>
        <v>46009.40394178241</v>
      </c>
      <c r="D26" s="304"/>
      <c r="E26" s="69" t="s">
        <v>129</v>
      </c>
      <c r="F26" s="202"/>
      <c r="G26" s="202"/>
      <c r="H26" s="202"/>
      <c r="I26" s="282" t="s">
        <v>130</v>
      </c>
      <c r="J26" s="282"/>
      <c r="K26" s="202"/>
      <c r="L26" s="202"/>
      <c r="M26" s="202"/>
      <c r="N26" s="70" t="s">
        <v>134</v>
      </c>
      <c r="O26" s="202"/>
      <c r="P26" s="202"/>
      <c r="Q26" s="202"/>
      <c r="R26" s="200" t="s">
        <v>343</v>
      </c>
      <c r="S26" s="201"/>
      <c r="T26" s="203">
        <f ca="1">C11</f>
        <v>45981.40394178241</v>
      </c>
      <c r="U26" s="204"/>
      <c r="V26" s="19"/>
      <c r="W26" s="19"/>
      <c r="Z26" s="19"/>
      <c r="AA26" s="19"/>
      <c r="AC26" s="19"/>
      <c r="AD26" s="19"/>
      <c r="AF26" s="19"/>
      <c r="AG26" s="19"/>
      <c r="AH26" s="120"/>
      <c r="AI26" s="121"/>
      <c r="AJ26" s="136"/>
      <c r="AK26" s="134" t="s">
        <v>122</v>
      </c>
      <c r="AL26" s="137"/>
      <c r="AM26" s="136"/>
      <c r="AN26" s="134" t="s">
        <v>166</v>
      </c>
      <c r="AO26" s="137"/>
      <c r="AP26" s="130"/>
      <c r="AQ26" s="130"/>
      <c r="AR26" s="130"/>
      <c r="AS26" s="130"/>
      <c r="AT26" s="131"/>
      <c r="AU26" s="131"/>
      <c r="AV26" s="131"/>
      <c r="AW26" s="131"/>
      <c r="AX26" s="132"/>
      <c r="AY26" s="132"/>
      <c r="AZ26" s="2"/>
      <c r="BA26" s="2"/>
      <c r="BB26" s="2"/>
      <c r="BC26" s="2"/>
      <c r="BD26" s="2"/>
      <c r="BE26" s="2"/>
      <c r="BF26" s="2"/>
      <c r="BG26" s="2"/>
      <c r="BH26" s="2"/>
      <c r="BI26" s="2"/>
      <c r="BJ26" s="2"/>
    </row>
    <row r="27" spans="1:62" ht="2.25" customHeight="1" x14ac:dyDescent="0.25">
      <c r="A27" s="55"/>
      <c r="B27" s="46"/>
      <c r="C27" s="46"/>
      <c r="D27" s="46"/>
      <c r="E27" s="46"/>
      <c r="F27" s="46"/>
      <c r="G27" s="46"/>
      <c r="H27" s="46"/>
      <c r="I27" s="46"/>
      <c r="J27" s="46"/>
      <c r="K27" s="46"/>
      <c r="L27" s="46"/>
      <c r="M27" s="46"/>
      <c r="N27" s="46"/>
      <c r="O27" s="46"/>
      <c r="P27" s="46"/>
      <c r="Q27" s="46"/>
      <c r="R27" s="46"/>
      <c r="S27" s="46"/>
      <c r="T27" s="46"/>
      <c r="U27" s="56"/>
      <c r="V27" s="19"/>
      <c r="W27" s="19"/>
      <c r="X27" s="19"/>
      <c r="Y27" s="19"/>
      <c r="Z27" s="19"/>
      <c r="AA27" s="19"/>
      <c r="AB27" s="19"/>
      <c r="AC27" s="19"/>
      <c r="AD27" s="19"/>
      <c r="AE27" s="124">
        <v>45322</v>
      </c>
      <c r="AF27" s="19"/>
      <c r="AG27" s="19"/>
      <c r="AH27" s="120"/>
      <c r="AI27" s="121"/>
      <c r="AJ27" s="130"/>
      <c r="AK27" s="130"/>
      <c r="AL27" s="130"/>
      <c r="AM27" s="130"/>
      <c r="AN27" s="130"/>
      <c r="AO27" s="130"/>
      <c r="AP27" s="130"/>
      <c r="AQ27" s="130"/>
      <c r="AR27" s="130"/>
      <c r="AS27" s="130"/>
      <c r="AT27" s="131"/>
      <c r="AU27" s="131"/>
      <c r="AV27" s="131"/>
      <c r="AW27" s="131"/>
      <c r="AX27" s="132"/>
      <c r="AY27" s="132"/>
      <c r="AZ27" s="2"/>
      <c r="BA27" s="2"/>
      <c r="BB27" s="2"/>
      <c r="BC27" s="2"/>
      <c r="BD27" s="2"/>
      <c r="BE27" s="2"/>
      <c r="BF27" s="2"/>
      <c r="BG27" s="2"/>
      <c r="BH27" s="2"/>
      <c r="BI27" s="2"/>
      <c r="BJ27" s="2"/>
    </row>
    <row r="28" spans="1:62" ht="9" customHeight="1" x14ac:dyDescent="0.25">
      <c r="A28" s="110" t="s">
        <v>178</v>
      </c>
      <c r="B28" s="61" t="s">
        <v>122</v>
      </c>
      <c r="C28" s="273" t="s">
        <v>161</v>
      </c>
      <c r="D28" s="273"/>
      <c r="E28" s="273"/>
      <c r="F28" s="273"/>
      <c r="G28" s="273"/>
      <c r="H28" s="273"/>
      <c r="I28" s="273"/>
      <c r="J28" s="273"/>
      <c r="K28" s="342" t="s">
        <v>177</v>
      </c>
      <c r="L28" s="343"/>
      <c r="M28" s="343"/>
      <c r="N28" s="343"/>
      <c r="O28" s="333" t="s">
        <v>122</v>
      </c>
      <c r="P28" s="334"/>
      <c r="Q28" s="200" t="s">
        <v>105</v>
      </c>
      <c r="R28" s="273"/>
      <c r="S28" s="273"/>
      <c r="T28" s="273"/>
      <c r="U28" s="201"/>
      <c r="V28" s="19"/>
      <c r="W28" s="19"/>
      <c r="X28" s="19"/>
      <c r="Y28" s="19"/>
      <c r="Z28" s="19"/>
      <c r="AA28" s="19"/>
      <c r="AB28" s="19"/>
      <c r="AC28" s="19"/>
      <c r="AD28" s="19"/>
      <c r="AE28" s="19"/>
      <c r="AF28" s="19"/>
      <c r="AG28" s="19"/>
      <c r="AH28" s="120"/>
      <c r="AI28" s="121"/>
      <c r="AJ28" s="130"/>
      <c r="AK28" s="130"/>
      <c r="AL28" s="130"/>
      <c r="AM28" s="130"/>
      <c r="AN28" s="130"/>
      <c r="AO28" s="130"/>
      <c r="AP28" s="130"/>
      <c r="AQ28" s="130"/>
      <c r="AR28" s="130"/>
      <c r="AS28" s="130"/>
      <c r="AT28" s="131"/>
      <c r="AU28" s="131"/>
      <c r="AV28" s="131"/>
      <c r="AW28" s="131"/>
      <c r="AX28" s="132"/>
      <c r="AY28" s="132"/>
      <c r="AZ28" s="2"/>
      <c r="BA28" s="2"/>
      <c r="BB28" s="2"/>
      <c r="BC28" s="2"/>
      <c r="BD28" s="2"/>
      <c r="BE28" s="2"/>
      <c r="BF28" s="2"/>
      <c r="BG28" s="2"/>
      <c r="BH28" s="2"/>
      <c r="BI28" s="2"/>
      <c r="BJ28" s="2"/>
    </row>
    <row r="29" spans="1:62" ht="14.25" customHeight="1" x14ac:dyDescent="0.25">
      <c r="A29" s="405" t="s">
        <v>370</v>
      </c>
      <c r="B29" s="53" t="s">
        <v>371</v>
      </c>
      <c r="C29" s="53"/>
      <c r="D29" s="53"/>
      <c r="E29" s="53"/>
      <c r="F29" s="53"/>
      <c r="G29" s="53"/>
      <c r="H29" s="53"/>
      <c r="I29" s="53"/>
      <c r="J29" s="53"/>
      <c r="K29" s="53"/>
      <c r="L29" s="53"/>
      <c r="M29" s="53"/>
      <c r="N29" s="53"/>
      <c r="O29" s="53"/>
      <c r="P29" s="53"/>
      <c r="Q29" s="45"/>
      <c r="R29" s="45"/>
      <c r="S29" s="46"/>
      <c r="T29" s="46"/>
      <c r="U29" s="56"/>
      <c r="V29" s="19"/>
      <c r="W29" s="19"/>
      <c r="X29" s="19"/>
      <c r="Y29" s="19"/>
      <c r="Z29" s="19"/>
      <c r="AA29" s="19"/>
      <c r="AB29" s="19"/>
      <c r="AC29" s="19"/>
      <c r="AD29" s="19"/>
      <c r="AE29" s="19"/>
      <c r="AF29" s="19"/>
      <c r="AG29" s="19"/>
      <c r="AH29" s="120"/>
      <c r="AI29" s="121"/>
      <c r="AJ29" s="130"/>
      <c r="AK29" s="130"/>
      <c r="AL29" s="130"/>
      <c r="AM29" s="130"/>
      <c r="AN29" s="130"/>
      <c r="AO29" s="130"/>
      <c r="AP29" s="130"/>
      <c r="AQ29" s="130"/>
      <c r="AR29" s="130"/>
      <c r="AS29" s="130"/>
      <c r="AT29" s="131"/>
      <c r="AU29" s="131"/>
      <c r="AV29" s="131"/>
      <c r="AW29" s="131"/>
      <c r="AX29" s="132"/>
      <c r="AY29" s="132"/>
      <c r="AZ29" s="2"/>
      <c r="BA29" s="2"/>
      <c r="BB29" s="2"/>
      <c r="BC29" s="2"/>
      <c r="BD29" s="2"/>
      <c r="BE29" s="2"/>
      <c r="BF29" s="2"/>
      <c r="BG29" s="2"/>
      <c r="BH29" s="2"/>
      <c r="BI29" s="2"/>
      <c r="BJ29" s="2"/>
    </row>
    <row r="30" spans="1:62" ht="12.75" customHeight="1" x14ac:dyDescent="0.25">
      <c r="A30" s="405">
        <v>1</v>
      </c>
      <c r="B30" s="405">
        <v>100</v>
      </c>
      <c r="C30" s="405"/>
      <c r="D30" s="405"/>
      <c r="E30" s="405"/>
      <c r="F30" s="405"/>
      <c r="G30" s="405"/>
      <c r="H30" s="405"/>
      <c r="I30" s="405"/>
      <c r="J30" s="405"/>
      <c r="K30" s="405" t="s">
        <v>129</v>
      </c>
      <c r="L30" s="405" t="s">
        <v>130</v>
      </c>
      <c r="M30" s="405" t="s">
        <v>134</v>
      </c>
      <c r="N30" s="405" t="s">
        <v>135</v>
      </c>
      <c r="O30" s="405" t="s">
        <v>136</v>
      </c>
      <c r="P30" s="405" t="s">
        <v>137</v>
      </c>
      <c r="Q30" s="125" t="s">
        <v>131</v>
      </c>
      <c r="R30" s="331" t="s">
        <v>329</v>
      </c>
      <c r="S30" s="332"/>
      <c r="T30" s="60" t="s">
        <v>174</v>
      </c>
      <c r="U30" s="125" t="s">
        <v>131</v>
      </c>
      <c r="V30" s="172" t="s">
        <v>329</v>
      </c>
      <c r="W30" s="60" t="s">
        <v>175</v>
      </c>
      <c r="X30" s="19"/>
      <c r="Y30" s="19"/>
      <c r="Z30" s="19"/>
      <c r="AA30" s="19"/>
      <c r="AB30" s="19"/>
      <c r="AC30" s="19"/>
      <c r="AD30" s="19"/>
      <c r="AE30" s="19"/>
      <c r="AF30" s="19"/>
      <c r="AG30" s="19"/>
      <c r="AH30" s="120"/>
      <c r="AI30" s="121"/>
      <c r="AJ30" s="175" t="s">
        <v>108</v>
      </c>
      <c r="AK30" s="176"/>
      <c r="AL30" s="177"/>
      <c r="AM30" s="175" t="s">
        <v>125</v>
      </c>
      <c r="AN30" s="176"/>
      <c r="AO30" s="177"/>
      <c r="AP30" s="130"/>
      <c r="AQ30" s="130"/>
      <c r="AR30" s="130"/>
      <c r="AS30" s="130"/>
      <c r="AT30" s="131"/>
      <c r="AU30" s="131"/>
      <c r="AV30" s="131"/>
      <c r="AW30" s="131"/>
      <c r="AX30" s="132"/>
      <c r="AY30" s="132"/>
      <c r="AZ30" s="2"/>
      <c r="BA30" s="2"/>
      <c r="BB30" s="2"/>
      <c r="BC30" s="2"/>
      <c r="BD30" s="2"/>
      <c r="BE30" s="2"/>
      <c r="BF30" s="2"/>
      <c r="BG30" s="2"/>
      <c r="BH30" s="2"/>
      <c r="BI30" s="2"/>
      <c r="BJ30" s="2"/>
    </row>
    <row r="31" spans="1:62" ht="16.5" customHeight="1" x14ac:dyDescent="0.25">
      <c r="A31" s="405" t="s">
        <v>372</v>
      </c>
      <c r="B31" s="405">
        <v>100</v>
      </c>
      <c r="C31" s="405"/>
      <c r="D31" s="405"/>
      <c r="E31" s="405"/>
      <c r="F31" s="405"/>
      <c r="G31" s="405"/>
      <c r="H31" s="405"/>
      <c r="I31" s="405"/>
      <c r="J31" s="405"/>
      <c r="K31" s="405"/>
      <c r="L31" s="405"/>
      <c r="M31" s="405"/>
      <c r="N31" s="405"/>
      <c r="O31" s="405"/>
      <c r="P31" s="405"/>
      <c r="Q31" s="62" t="s">
        <v>133</v>
      </c>
      <c r="R31" s="197" t="s">
        <v>368</v>
      </c>
      <c r="S31" s="197"/>
      <c r="T31" s="102">
        <v>25</v>
      </c>
      <c r="U31" s="62" t="s">
        <v>133</v>
      </c>
      <c r="V31" s="173"/>
      <c r="W31" s="173"/>
      <c r="X31" s="19"/>
      <c r="Y31" s="19"/>
      <c r="Z31" s="19"/>
      <c r="AA31" s="19"/>
      <c r="AB31" s="19"/>
      <c r="AC31" s="19"/>
      <c r="AD31" s="19"/>
      <c r="AE31" s="19"/>
      <c r="AF31" s="19"/>
      <c r="AG31" s="19"/>
      <c r="AH31" s="120"/>
      <c r="AI31" s="121"/>
      <c r="AJ31" s="133"/>
      <c r="AK31" s="134">
        <v>1</v>
      </c>
      <c r="AL31" s="135"/>
      <c r="AM31" s="133"/>
      <c r="AN31" s="134" t="s">
        <v>31</v>
      </c>
      <c r="AO31" s="135"/>
      <c r="AP31" s="130"/>
      <c r="AQ31" s="141" t="s">
        <v>156</v>
      </c>
      <c r="AR31" s="142"/>
      <c r="AS31" s="143"/>
      <c r="AT31" s="131"/>
      <c r="AU31" s="131"/>
      <c r="AV31" s="131"/>
      <c r="AW31" s="131"/>
      <c r="AX31" s="132"/>
      <c r="AY31" s="132"/>
      <c r="AZ31" s="2"/>
      <c r="BA31" s="2"/>
      <c r="BB31" s="2"/>
      <c r="BC31" s="2"/>
      <c r="BD31" s="2"/>
      <c r="BE31" s="2"/>
      <c r="BF31" s="2"/>
      <c r="BG31" s="2"/>
      <c r="BH31" s="2"/>
      <c r="BI31" s="2"/>
      <c r="BJ31" s="2"/>
    </row>
    <row r="32" spans="1:62" ht="15" customHeight="1" x14ac:dyDescent="0.25">
      <c r="A32" s="405" t="s">
        <v>373</v>
      </c>
      <c r="B32" s="405">
        <v>100</v>
      </c>
      <c r="C32" s="405"/>
      <c r="D32" s="405"/>
      <c r="E32" s="405"/>
      <c r="F32" s="405"/>
      <c r="G32" s="405"/>
      <c r="H32" s="405"/>
      <c r="I32" s="405"/>
      <c r="J32" s="405"/>
      <c r="K32" s="405"/>
      <c r="L32" s="405"/>
      <c r="M32" s="405"/>
      <c r="N32" s="405"/>
      <c r="O32" s="405"/>
      <c r="P32" s="405"/>
      <c r="Q32" s="62" t="s">
        <v>129</v>
      </c>
      <c r="R32" s="197" t="s">
        <v>369</v>
      </c>
      <c r="S32" s="197"/>
      <c r="T32" s="102">
        <v>20</v>
      </c>
      <c r="U32" s="62" t="s">
        <v>129</v>
      </c>
      <c r="V32" s="173"/>
      <c r="W32" s="173"/>
      <c r="X32" s="19"/>
      <c r="Y32" s="19"/>
      <c r="Z32" s="19"/>
      <c r="AA32" s="19"/>
      <c r="AB32" s="19"/>
      <c r="AC32" s="19"/>
      <c r="AD32" s="19"/>
      <c r="AE32" s="19"/>
      <c r="AF32" s="19"/>
      <c r="AG32" s="19"/>
      <c r="AH32" s="120"/>
      <c r="AI32" s="121"/>
      <c r="AJ32" s="133"/>
      <c r="AK32" s="134">
        <v>2</v>
      </c>
      <c r="AL32" s="135"/>
      <c r="AM32" s="133"/>
      <c r="AN32" s="134" t="s">
        <v>65</v>
      </c>
      <c r="AO32" s="135"/>
      <c r="AP32" s="130"/>
      <c r="AQ32" s="134" t="s">
        <v>50</v>
      </c>
      <c r="AR32" s="134"/>
      <c r="AS32" s="130">
        <v>1.01</v>
      </c>
      <c r="AT32" s="131"/>
      <c r="AU32" s="131"/>
      <c r="AV32" s="131"/>
      <c r="AW32" s="131"/>
      <c r="AX32" s="132"/>
      <c r="AY32" s="132"/>
      <c r="AZ32" s="2"/>
      <c r="BA32" s="2"/>
      <c r="BB32" s="2"/>
      <c r="BC32" s="2"/>
      <c r="BD32" s="2"/>
      <c r="BE32" s="2"/>
      <c r="BF32" s="2"/>
      <c r="BG32" s="2"/>
      <c r="BH32" s="2"/>
      <c r="BI32" s="2"/>
      <c r="BJ32" s="2"/>
    </row>
    <row r="33" spans="1:62" ht="15.75" customHeight="1" x14ac:dyDescent="0.25">
      <c r="A33" s="405" t="s">
        <v>374</v>
      </c>
      <c r="B33" s="405">
        <v>100</v>
      </c>
      <c r="C33" s="405"/>
      <c r="D33" s="405"/>
      <c r="E33" s="405"/>
      <c r="F33" s="405"/>
      <c r="G33" s="405"/>
      <c r="H33" s="405"/>
      <c r="I33" s="405"/>
      <c r="J33" s="405"/>
      <c r="K33" s="405"/>
      <c r="L33" s="405"/>
      <c r="M33" s="405"/>
      <c r="N33" s="405"/>
      <c r="O33" s="405"/>
      <c r="P33" s="405"/>
      <c r="Q33" s="62" t="s">
        <v>130</v>
      </c>
      <c r="R33" s="251"/>
      <c r="S33" s="252"/>
      <c r="T33" s="102"/>
      <c r="U33" s="62" t="s">
        <v>130</v>
      </c>
      <c r="V33" s="173"/>
      <c r="W33" s="173"/>
      <c r="X33" s="19"/>
      <c r="Y33" s="19"/>
      <c r="Z33" s="19"/>
      <c r="AA33" s="19"/>
      <c r="AB33" s="19"/>
      <c r="AC33" s="19"/>
      <c r="AD33" s="19"/>
      <c r="AE33" s="19"/>
      <c r="AF33" s="19"/>
      <c r="AG33" s="19"/>
      <c r="AH33" s="120"/>
      <c r="AI33" s="121"/>
      <c r="AJ33" s="130"/>
      <c r="AK33" s="130">
        <v>3</v>
      </c>
      <c r="AL33" s="130"/>
      <c r="AM33" s="130"/>
      <c r="AN33" s="130" t="s">
        <v>66</v>
      </c>
      <c r="AO33" s="130"/>
      <c r="AP33" s="130"/>
      <c r="AQ33" s="134" t="s">
        <v>190</v>
      </c>
      <c r="AR33" s="134"/>
      <c r="AS33" s="130">
        <v>1.01</v>
      </c>
      <c r="AT33" s="131"/>
      <c r="AU33" s="131"/>
      <c r="AV33" s="131"/>
      <c r="AW33" s="131"/>
      <c r="AX33" s="132"/>
      <c r="AY33" s="132"/>
      <c r="AZ33" s="2"/>
      <c r="BA33" s="2"/>
      <c r="BB33" s="2"/>
      <c r="BC33" s="2"/>
      <c r="BD33" s="2"/>
      <c r="BE33" s="2"/>
      <c r="BF33" s="2"/>
      <c r="BG33" s="2"/>
      <c r="BH33" s="2"/>
      <c r="BI33" s="2"/>
      <c r="BJ33" s="2"/>
    </row>
    <row r="34" spans="1:62" ht="15.75" customHeight="1" x14ac:dyDescent="0.25">
      <c r="A34" s="405" t="s">
        <v>375</v>
      </c>
      <c r="B34" s="405">
        <v>100</v>
      </c>
      <c r="C34" s="405"/>
      <c r="D34" s="405"/>
      <c r="E34" s="405"/>
      <c r="F34" s="405"/>
      <c r="G34" s="405"/>
      <c r="H34" s="405"/>
      <c r="I34" s="405"/>
      <c r="J34" s="405"/>
      <c r="K34" s="405"/>
      <c r="L34" s="405"/>
      <c r="M34" s="405"/>
      <c r="N34" s="405"/>
      <c r="O34" s="405"/>
      <c r="P34" s="405"/>
      <c r="Q34" s="62" t="s">
        <v>134</v>
      </c>
      <c r="R34" s="251"/>
      <c r="S34" s="252"/>
      <c r="T34" s="102"/>
      <c r="U34" s="62" t="s">
        <v>134</v>
      </c>
      <c r="V34" s="173"/>
      <c r="W34" s="173"/>
      <c r="X34" s="19"/>
      <c r="Y34" s="19"/>
      <c r="Z34" s="19"/>
      <c r="AA34" s="19"/>
      <c r="AB34" s="121"/>
      <c r="AC34" s="19"/>
      <c r="AD34" s="19"/>
      <c r="AE34" s="19"/>
      <c r="AF34" s="19"/>
      <c r="AG34" s="19"/>
      <c r="AH34" s="120"/>
      <c r="AI34" s="121"/>
      <c r="AJ34" s="130"/>
      <c r="AK34" s="130">
        <v>4</v>
      </c>
      <c r="AL34" s="130"/>
      <c r="AM34" s="130"/>
      <c r="AN34" s="130" t="s">
        <v>67</v>
      </c>
      <c r="AO34" s="130"/>
      <c r="AP34" s="130"/>
      <c r="AQ34" s="144" t="s">
        <v>290</v>
      </c>
      <c r="AR34" s="134"/>
      <c r="AS34" s="130">
        <v>1.5</v>
      </c>
      <c r="AT34" s="131"/>
      <c r="AU34" s="131"/>
      <c r="AV34" s="131"/>
      <c r="AW34" s="131"/>
      <c r="AX34" s="132"/>
      <c r="AY34" s="132"/>
      <c r="AZ34" s="2"/>
      <c r="BA34" s="2"/>
      <c r="BB34" s="2"/>
      <c r="BC34" s="2"/>
      <c r="BD34" s="2"/>
      <c r="BE34" s="2"/>
      <c r="BF34" s="2"/>
      <c r="BG34" s="2"/>
      <c r="BH34" s="2"/>
      <c r="BI34" s="2"/>
      <c r="BJ34" s="2"/>
    </row>
    <row r="35" spans="1:62" ht="16.5" customHeight="1" x14ac:dyDescent="0.25">
      <c r="A35" s="405"/>
      <c r="B35" s="405"/>
      <c r="C35" s="405"/>
      <c r="D35" s="405"/>
      <c r="E35" s="405"/>
      <c r="F35" s="405"/>
      <c r="G35" s="405"/>
      <c r="H35" s="405"/>
      <c r="I35" s="405"/>
      <c r="J35" s="405"/>
      <c r="K35" s="405"/>
      <c r="L35" s="405"/>
      <c r="M35" s="405"/>
      <c r="N35" s="405"/>
      <c r="O35" s="405"/>
      <c r="P35" s="405"/>
      <c r="Q35" s="62" t="s">
        <v>135</v>
      </c>
      <c r="R35" s="251"/>
      <c r="S35" s="252"/>
      <c r="T35" s="102"/>
      <c r="U35" s="62" t="s">
        <v>135</v>
      </c>
      <c r="V35" s="173"/>
      <c r="W35" s="173"/>
      <c r="X35" s="19"/>
      <c r="Y35" s="19"/>
      <c r="Z35" s="19"/>
      <c r="AA35" s="19"/>
      <c r="AB35" s="19"/>
      <c r="AC35" s="19"/>
      <c r="AD35" s="19"/>
      <c r="AE35" s="19"/>
      <c r="AF35" s="19"/>
      <c r="AG35" s="19"/>
      <c r="AH35" s="120"/>
      <c r="AI35" s="121"/>
      <c r="AJ35" s="130"/>
      <c r="AK35" s="130">
        <v>5</v>
      </c>
      <c r="AL35" s="130"/>
      <c r="AM35" s="130"/>
      <c r="AN35" s="130" t="s">
        <v>68</v>
      </c>
      <c r="AO35" s="130"/>
      <c r="AP35" s="130"/>
      <c r="AQ35" s="134" t="s">
        <v>289</v>
      </c>
      <c r="AR35" s="144"/>
      <c r="AS35" s="130">
        <v>1.5</v>
      </c>
      <c r="AT35" s="131"/>
      <c r="AU35" s="131"/>
      <c r="AV35" s="131"/>
      <c r="AW35" s="131"/>
      <c r="AX35" s="132"/>
      <c r="AY35" s="132"/>
      <c r="AZ35" s="2"/>
      <c r="BA35" s="2"/>
      <c r="BB35" s="2"/>
      <c r="BC35" s="2"/>
      <c r="BD35" s="2"/>
      <c r="BE35" s="2"/>
      <c r="BF35" s="2"/>
      <c r="BG35" s="2"/>
      <c r="BH35" s="2"/>
      <c r="BI35" s="2"/>
      <c r="BJ35" s="2"/>
    </row>
    <row r="36" spans="1:62" ht="15" customHeight="1" x14ac:dyDescent="0.25">
      <c r="A36" s="405"/>
      <c r="B36" s="405"/>
      <c r="C36" s="405"/>
      <c r="D36" s="405"/>
      <c r="E36" s="405"/>
      <c r="F36" s="405"/>
      <c r="G36" s="405"/>
      <c r="H36" s="405"/>
      <c r="I36" s="405"/>
      <c r="J36" s="405"/>
      <c r="K36" s="405"/>
      <c r="L36" s="405"/>
      <c r="M36" s="405"/>
      <c r="N36" s="405"/>
      <c r="O36" s="405"/>
      <c r="P36" s="405"/>
      <c r="Q36" s="62" t="s">
        <v>136</v>
      </c>
      <c r="R36" s="197"/>
      <c r="S36" s="197"/>
      <c r="T36" s="102"/>
      <c r="U36" s="62" t="s">
        <v>136</v>
      </c>
      <c r="V36" s="173"/>
      <c r="W36" s="173"/>
      <c r="X36" s="19"/>
      <c r="Y36" s="19"/>
      <c r="Z36" s="19"/>
      <c r="AA36" s="19"/>
      <c r="AB36" s="19"/>
      <c r="AC36" s="19"/>
      <c r="AD36" s="19"/>
      <c r="AE36" s="19"/>
      <c r="AF36" s="19"/>
      <c r="AG36" s="19"/>
      <c r="AH36" s="120"/>
      <c r="AI36" s="121"/>
      <c r="AJ36" s="130"/>
      <c r="AK36" s="130"/>
      <c r="AL36" s="130"/>
      <c r="AM36" s="130"/>
      <c r="AN36" s="130" t="s">
        <v>59</v>
      </c>
      <c r="AO36" s="130"/>
      <c r="AP36" s="130"/>
      <c r="AQ36" s="134" t="s">
        <v>51</v>
      </c>
      <c r="AR36" s="144"/>
      <c r="AS36" s="130">
        <v>1.01</v>
      </c>
      <c r="AT36" s="131"/>
      <c r="AU36" s="131"/>
      <c r="AV36" s="131"/>
      <c r="AW36" s="131"/>
      <c r="AX36" s="132"/>
      <c r="AY36" s="132"/>
      <c r="AZ36" s="2"/>
      <c r="BA36" s="2"/>
      <c r="BB36" s="2"/>
      <c r="BC36" s="2"/>
      <c r="BD36" s="2"/>
      <c r="BE36" s="2"/>
      <c r="BF36" s="2"/>
      <c r="BG36" s="2"/>
      <c r="BH36" s="2"/>
      <c r="BI36" s="2"/>
      <c r="BJ36" s="2"/>
    </row>
    <row r="37" spans="1:62" ht="15" customHeight="1" x14ac:dyDescent="0.25">
      <c r="A37" s="405"/>
      <c r="B37" s="405"/>
      <c r="C37" s="405"/>
      <c r="D37" s="405"/>
      <c r="E37" s="405"/>
      <c r="F37" s="405"/>
      <c r="G37" s="405"/>
      <c r="H37" s="405"/>
      <c r="I37" s="405"/>
      <c r="J37" s="405"/>
      <c r="K37" s="405"/>
      <c r="L37" s="405"/>
      <c r="M37" s="405"/>
      <c r="N37" s="405"/>
      <c r="O37" s="405"/>
      <c r="P37" s="405"/>
      <c r="Q37" s="62" t="s">
        <v>137</v>
      </c>
      <c r="R37" s="197"/>
      <c r="S37" s="197"/>
      <c r="T37" s="102"/>
      <c r="U37" s="62" t="s">
        <v>137</v>
      </c>
      <c r="V37" s="173"/>
      <c r="W37" s="173"/>
      <c r="X37" s="19"/>
      <c r="Y37" s="19"/>
      <c r="Z37" s="19"/>
      <c r="AA37" s="115"/>
      <c r="AB37" s="19"/>
      <c r="AC37" s="19"/>
      <c r="AD37" s="19"/>
      <c r="AE37" s="19"/>
      <c r="AF37" s="19"/>
      <c r="AG37" s="19"/>
      <c r="AH37" s="120"/>
      <c r="AI37" s="121"/>
      <c r="AJ37" s="130"/>
      <c r="AK37" s="130"/>
      <c r="AL37" s="130"/>
      <c r="AM37" s="130"/>
      <c r="AN37" s="130"/>
      <c r="AO37" s="130"/>
      <c r="AP37" s="130"/>
      <c r="AQ37" s="134" t="s">
        <v>291</v>
      </c>
      <c r="AR37" s="134"/>
      <c r="AS37" s="130">
        <v>1.5</v>
      </c>
      <c r="AT37" s="131"/>
      <c r="AU37" s="131"/>
      <c r="AV37" s="131"/>
      <c r="AW37" s="131"/>
      <c r="AX37" s="132"/>
      <c r="AY37" s="132"/>
      <c r="AZ37" s="2"/>
      <c r="BA37" s="2"/>
      <c r="BB37" s="2"/>
      <c r="BC37" s="2"/>
      <c r="BD37" s="2"/>
      <c r="BE37" s="2"/>
      <c r="BF37" s="2"/>
      <c r="BG37" s="2"/>
      <c r="BH37" s="2"/>
      <c r="BI37" s="2"/>
      <c r="BJ37" s="2"/>
    </row>
    <row r="38" spans="1:62" ht="15" customHeight="1" x14ac:dyDescent="0.25">
      <c r="A38" s="405"/>
      <c r="B38" s="405"/>
      <c r="C38" s="405"/>
      <c r="D38" s="405"/>
      <c r="E38" s="405"/>
      <c r="F38" s="405"/>
      <c r="G38" s="405"/>
      <c r="H38" s="405"/>
      <c r="I38" s="405"/>
      <c r="J38" s="405"/>
      <c r="K38" s="405"/>
      <c r="L38" s="405"/>
      <c r="M38" s="405"/>
      <c r="N38" s="405"/>
      <c r="O38" s="405"/>
      <c r="P38" s="405"/>
      <c r="Q38" s="62" t="s">
        <v>138</v>
      </c>
      <c r="R38" s="197"/>
      <c r="S38" s="197"/>
      <c r="T38" s="102"/>
      <c r="U38" s="62" t="s">
        <v>138</v>
      </c>
      <c r="V38" s="173"/>
      <c r="W38" s="173"/>
      <c r="X38" s="19"/>
      <c r="Y38" s="19"/>
      <c r="Z38" s="19"/>
      <c r="AA38" s="19"/>
      <c r="AB38" s="19"/>
      <c r="AC38" s="19"/>
      <c r="AD38" s="19"/>
      <c r="AE38" s="19"/>
      <c r="AF38" s="19"/>
      <c r="AG38" s="19"/>
      <c r="AH38" s="120"/>
      <c r="AI38" s="121"/>
      <c r="AJ38" s="175" t="s">
        <v>116</v>
      </c>
      <c r="AK38" s="176"/>
      <c r="AL38" s="177"/>
      <c r="AM38" s="131"/>
      <c r="AN38" s="131"/>
      <c r="AO38" s="131"/>
      <c r="AP38" s="130"/>
      <c r="AQ38" s="134" t="s">
        <v>288</v>
      </c>
      <c r="AR38" s="131"/>
      <c r="AS38" s="130">
        <v>1.5</v>
      </c>
      <c r="AT38" s="131"/>
      <c r="AU38" s="131"/>
      <c r="AV38" s="131"/>
      <c r="AW38" s="131"/>
      <c r="AX38" s="132"/>
      <c r="AY38" s="132"/>
      <c r="AZ38" s="2"/>
      <c r="BA38" s="2"/>
      <c r="BB38" s="2"/>
      <c r="BC38" s="2"/>
      <c r="BD38" s="2"/>
      <c r="BE38" s="2"/>
      <c r="BF38" s="2"/>
      <c r="BG38" s="2"/>
      <c r="BH38" s="2"/>
      <c r="BI38" s="2"/>
      <c r="BJ38" s="2"/>
    </row>
    <row r="39" spans="1:62" ht="15.75" customHeight="1" x14ac:dyDescent="0.25">
      <c r="A39" s="405"/>
      <c r="B39" s="405"/>
      <c r="C39" s="405"/>
      <c r="D39" s="405"/>
      <c r="E39" s="405"/>
      <c r="F39" s="405"/>
      <c r="G39" s="405"/>
      <c r="H39" s="405"/>
      <c r="I39" s="405"/>
      <c r="J39" s="405"/>
      <c r="K39" s="405" t="s">
        <v>192</v>
      </c>
      <c r="L39" s="405"/>
      <c r="M39" s="405"/>
      <c r="N39" s="405"/>
      <c r="O39" s="405"/>
      <c r="P39" s="405"/>
      <c r="Q39" s="198" t="s">
        <v>115</v>
      </c>
      <c r="R39" s="199"/>
      <c r="S39" s="199"/>
      <c r="T39" s="122">
        <f>(SUM(T31:T38))</f>
        <v>45</v>
      </c>
      <c r="U39" s="123">
        <f>(SUM(W31:W38))</f>
        <v>0</v>
      </c>
      <c r="V39" s="19"/>
      <c r="W39" s="122">
        <f>(SUM(W31:W38))</f>
        <v>0</v>
      </c>
      <c r="X39" s="19"/>
      <c r="Y39" s="19"/>
      <c r="Z39" s="19"/>
      <c r="AA39" s="19"/>
      <c r="AB39" s="19"/>
      <c r="AC39" s="19"/>
      <c r="AD39" s="19"/>
      <c r="AE39" s="19"/>
      <c r="AF39" s="19"/>
      <c r="AG39" s="19"/>
      <c r="AH39" s="120"/>
      <c r="AI39" s="121"/>
      <c r="AJ39" s="133"/>
      <c r="AK39" s="134" t="s">
        <v>127</v>
      </c>
      <c r="AL39" s="135"/>
      <c r="AM39" s="133" t="s">
        <v>188</v>
      </c>
      <c r="AN39" s="131"/>
      <c r="AO39" s="135"/>
      <c r="AP39" s="130"/>
      <c r="AQ39" s="144" t="s">
        <v>44</v>
      </c>
      <c r="AR39" s="130"/>
      <c r="AS39" s="130">
        <v>1.2</v>
      </c>
      <c r="AT39" s="131"/>
      <c r="AU39" s="131"/>
      <c r="AV39" s="131"/>
      <c r="AW39" s="131"/>
      <c r="AX39" s="132"/>
      <c r="AY39" s="132"/>
      <c r="AZ39" s="2"/>
      <c r="BA39" s="2"/>
      <c r="BB39" s="2"/>
      <c r="BC39" s="2"/>
      <c r="BD39" s="2"/>
      <c r="BE39" s="2"/>
      <c r="BF39" s="2"/>
      <c r="BG39" s="2"/>
      <c r="BH39" s="2"/>
      <c r="BI39" s="2"/>
      <c r="BJ39" s="2"/>
    </row>
    <row r="40" spans="1:62" ht="16.5" customHeight="1" x14ac:dyDescent="0.25">
      <c r="A40" s="405" t="s">
        <v>35</v>
      </c>
      <c r="B40" s="405">
        <f>IF(SUM(B31:B39)&gt;0,SUM(B31:B39),M19)</f>
        <v>400</v>
      </c>
      <c r="C40" s="405"/>
      <c r="D40" s="405"/>
      <c r="E40" s="405"/>
      <c r="F40" s="405"/>
      <c r="G40" s="405"/>
      <c r="H40" s="405"/>
      <c r="I40" s="405"/>
      <c r="J40" s="405"/>
      <c r="K40" s="405"/>
      <c r="L40" s="405"/>
      <c r="M40" s="405"/>
      <c r="N40" s="405"/>
      <c r="O40" s="405"/>
      <c r="P40" s="405"/>
      <c r="Q40" s="198" t="s">
        <v>132</v>
      </c>
      <c r="R40" s="198"/>
      <c r="S40" s="198"/>
      <c r="T40" s="198"/>
      <c r="U40" s="199"/>
      <c r="V40" s="103" t="e">
        <f>IF(AND(U17="",M19&lt;(T11*0.9)),"VER TABELA",IF(C23=60,1.49,1)*(IF(B40=M19,CÁLCULO!H13,"GRADE ERRADA"))*(IF(U16="",1,(IF(U15="+",(1+U16%),(1-U16%)))))*(IF(S25="sim",1.12,1)))*V41</f>
        <v>#VALUE!</v>
      </c>
      <c r="W40" s="19"/>
      <c r="X40" s="19"/>
      <c r="Y40" s="19"/>
      <c r="Z40" s="19"/>
      <c r="AA40" s="19"/>
      <c r="AB40" s="19"/>
      <c r="AC40" s="19"/>
      <c r="AD40" s="19"/>
      <c r="AE40" s="19"/>
      <c r="AF40" s="19"/>
      <c r="AG40" s="19"/>
      <c r="AH40" s="120"/>
      <c r="AI40" s="121"/>
      <c r="AJ40" s="133"/>
      <c r="AK40" s="134" t="s">
        <v>128</v>
      </c>
      <c r="AL40" s="135"/>
      <c r="AM40" s="133" t="s">
        <v>189</v>
      </c>
      <c r="AN40" s="131"/>
      <c r="AO40" s="135"/>
      <c r="AP40" s="130"/>
      <c r="AQ40" s="130"/>
      <c r="AR40" s="130"/>
      <c r="AS40" s="130"/>
      <c r="AT40" s="131"/>
      <c r="AU40" s="131"/>
      <c r="AV40" s="131"/>
      <c r="AW40" s="131"/>
      <c r="AX40" s="132"/>
      <c r="AY40" s="132"/>
      <c r="AZ40" s="2"/>
      <c r="BA40" s="2"/>
      <c r="BB40" s="2"/>
      <c r="BC40" s="2"/>
      <c r="BD40" s="2"/>
      <c r="BE40" s="2"/>
      <c r="BF40" s="2"/>
      <c r="BG40" s="2"/>
      <c r="BH40" s="2"/>
      <c r="BI40" s="2"/>
      <c r="BJ40" s="2"/>
    </row>
    <row r="41" spans="1:62" ht="15" customHeight="1" x14ac:dyDescent="0.25">
      <c r="A41" s="358" t="s">
        <v>93</v>
      </c>
      <c r="B41" s="359"/>
      <c r="C41" s="298"/>
      <c r="D41" s="335"/>
      <c r="E41" s="335"/>
      <c r="F41" s="335"/>
      <c r="G41" s="335"/>
      <c r="H41" s="335"/>
      <c r="I41" s="335"/>
      <c r="J41" s="335"/>
      <c r="K41" s="335"/>
      <c r="L41" s="335"/>
      <c r="M41" s="364"/>
      <c r="N41" s="365"/>
      <c r="O41" s="365"/>
      <c r="P41" s="365"/>
      <c r="Q41" s="274" t="s">
        <v>190</v>
      </c>
      <c r="R41" s="305"/>
      <c r="S41" s="305"/>
      <c r="T41" s="305"/>
      <c r="U41" s="306"/>
      <c r="V41" s="104">
        <f>VLOOKUP(Q41,urdume,3)</f>
        <v>1.01</v>
      </c>
      <c r="W41" s="19"/>
      <c r="X41" s="149"/>
      <c r="Z41" s="19"/>
      <c r="AA41" s="19"/>
      <c r="AB41" s="19"/>
      <c r="AC41" s="19"/>
      <c r="AD41" s="19"/>
      <c r="AE41" s="19"/>
      <c r="AF41" s="19"/>
      <c r="AG41" s="19"/>
      <c r="AH41" s="120"/>
      <c r="AI41" s="121"/>
      <c r="AJ41" s="130"/>
      <c r="AK41" s="130"/>
      <c r="AL41" s="130"/>
      <c r="AM41" s="130"/>
      <c r="AN41" s="131"/>
      <c r="AO41" s="130"/>
      <c r="AP41" s="130"/>
      <c r="AQ41" s="130"/>
      <c r="AR41" s="130"/>
      <c r="AS41" s="130"/>
      <c r="AT41" s="131"/>
      <c r="AU41" s="131"/>
      <c r="AV41" s="131"/>
      <c r="AW41" s="131"/>
      <c r="AX41" s="132"/>
      <c r="AY41" s="132"/>
      <c r="AZ41" s="2"/>
      <c r="BA41" s="2"/>
      <c r="BB41" s="2"/>
      <c r="BC41" s="2"/>
      <c r="BD41" s="2"/>
      <c r="BE41" s="2"/>
      <c r="BF41" s="2"/>
      <c r="BG41" s="2"/>
      <c r="BH41" s="2"/>
      <c r="BI41" s="2"/>
      <c r="BJ41" s="2"/>
    </row>
    <row r="42" spans="1:62" ht="9" customHeight="1" x14ac:dyDescent="0.25">
      <c r="A42" s="336"/>
      <c r="B42" s="337"/>
      <c r="C42" s="337"/>
      <c r="D42" s="337"/>
      <c r="E42" s="337"/>
      <c r="F42" s="337"/>
      <c r="G42" s="337"/>
      <c r="H42" s="337"/>
      <c r="I42" s="337"/>
      <c r="J42" s="337"/>
      <c r="K42" s="337"/>
      <c r="L42" s="337"/>
      <c r="M42" s="337"/>
      <c r="N42" s="337"/>
      <c r="O42" s="337"/>
      <c r="P42" s="337"/>
      <c r="Q42" s="337"/>
      <c r="R42" s="337"/>
      <c r="S42" s="337"/>
      <c r="T42" s="337"/>
      <c r="U42" s="338"/>
      <c r="V42" s="19"/>
      <c r="W42" s="19"/>
      <c r="X42" s="19"/>
      <c r="Y42" s="19"/>
      <c r="Z42" s="19"/>
      <c r="AA42" s="19"/>
      <c r="AB42" s="19"/>
      <c r="AC42" s="19"/>
      <c r="AD42" s="19"/>
      <c r="AE42" s="19"/>
      <c r="AF42" s="19"/>
      <c r="AG42" s="19"/>
      <c r="AH42" s="120"/>
      <c r="AI42" s="121"/>
      <c r="AJ42" s="130"/>
      <c r="AK42" s="130"/>
      <c r="AL42" s="130"/>
      <c r="AM42" s="130"/>
      <c r="AN42" s="131"/>
      <c r="AO42" s="130"/>
      <c r="AP42" s="130"/>
      <c r="AQ42" s="130"/>
      <c r="AR42" s="130"/>
      <c r="AS42" s="130"/>
      <c r="AT42" s="131"/>
      <c r="AU42" s="131"/>
      <c r="AV42" s="131"/>
      <c r="AW42" s="131"/>
      <c r="AX42" s="132"/>
      <c r="AY42" s="132"/>
      <c r="AZ42" s="2"/>
      <c r="BA42" s="2"/>
      <c r="BB42" s="2"/>
      <c r="BC42" s="2"/>
      <c r="BD42" s="2"/>
      <c r="BE42" s="2"/>
      <c r="BF42" s="2"/>
      <c r="BG42" s="2"/>
      <c r="BH42" s="2"/>
      <c r="BI42" s="2"/>
      <c r="BJ42" s="2"/>
    </row>
    <row r="43" spans="1:62" ht="93" customHeight="1" x14ac:dyDescent="0.25">
      <c r="A43" s="339"/>
      <c r="B43" s="340"/>
      <c r="C43" s="340"/>
      <c r="D43" s="340"/>
      <c r="E43" s="340"/>
      <c r="F43" s="340"/>
      <c r="G43" s="340"/>
      <c r="H43" s="340"/>
      <c r="I43" s="340"/>
      <c r="J43" s="340"/>
      <c r="K43" s="340"/>
      <c r="L43" s="340"/>
      <c r="M43" s="340"/>
      <c r="N43" s="340"/>
      <c r="O43" s="340"/>
      <c r="P43" s="340"/>
      <c r="Q43" s="340"/>
      <c r="R43" s="340"/>
      <c r="S43" s="340"/>
      <c r="T43" s="340"/>
      <c r="U43" s="341"/>
      <c r="V43" s="19"/>
      <c r="W43" s="19"/>
      <c r="X43" s="19"/>
      <c r="Y43" s="19"/>
      <c r="Z43" s="19"/>
      <c r="AA43" s="19"/>
      <c r="AB43" s="19"/>
      <c r="AC43" s="19"/>
      <c r="AD43" s="19"/>
      <c r="AE43" s="19"/>
      <c r="AF43" s="19"/>
      <c r="AG43" s="19"/>
      <c r="AH43" s="120"/>
      <c r="AI43" s="145"/>
      <c r="AJ43" s="145"/>
      <c r="AK43" s="145"/>
      <c r="AL43" s="145"/>
      <c r="AM43" s="145"/>
      <c r="AN43" s="145"/>
      <c r="AO43" s="145"/>
      <c r="AP43" s="145"/>
      <c r="AQ43" s="145"/>
      <c r="AR43" s="145"/>
      <c r="AS43" s="145"/>
      <c r="AT43" s="150"/>
      <c r="AU43" s="150"/>
      <c r="AV43" s="150"/>
      <c r="AW43" s="150"/>
      <c r="AX43" s="151"/>
      <c r="AY43" s="151"/>
      <c r="AZ43" s="152"/>
      <c r="BA43" s="2"/>
      <c r="BB43" s="2"/>
      <c r="BC43" s="2"/>
      <c r="BD43" s="2"/>
      <c r="BE43" s="2"/>
      <c r="BF43" s="2"/>
      <c r="BG43" s="2"/>
      <c r="BH43" s="2"/>
      <c r="BI43" s="2"/>
      <c r="BJ43" s="2"/>
    </row>
    <row r="44" spans="1:62" ht="24.75" customHeight="1" x14ac:dyDescent="0.25">
      <c r="A44" s="113"/>
      <c r="B44" s="114"/>
      <c r="C44" s="114"/>
      <c r="D44" s="114"/>
      <c r="E44" s="114"/>
      <c r="F44" s="114"/>
      <c r="G44" s="114"/>
      <c r="H44" s="114"/>
      <c r="I44" s="114"/>
      <c r="J44" s="114"/>
      <c r="K44" s="114"/>
      <c r="L44" s="116"/>
      <c r="M44" s="116"/>
      <c r="N44" s="116"/>
      <c r="O44" s="116"/>
      <c r="P44" s="116"/>
      <c r="Q44" s="116"/>
      <c r="R44" s="329"/>
      <c r="S44" s="329"/>
      <c r="T44" s="329"/>
      <c r="U44" s="330"/>
      <c r="V44" s="19"/>
      <c r="W44" s="19"/>
      <c r="X44" s="19"/>
      <c r="Y44" s="19"/>
      <c r="Z44" s="19"/>
      <c r="AA44" s="19"/>
      <c r="AB44" s="19"/>
      <c r="AC44" s="19"/>
      <c r="AD44" s="19"/>
      <c r="AE44" s="19"/>
      <c r="AF44" s="19"/>
      <c r="AG44" s="19"/>
      <c r="AH44" s="120"/>
      <c r="AI44" s="145"/>
      <c r="AJ44" s="300" t="s">
        <v>145</v>
      </c>
      <c r="AK44" s="301"/>
      <c r="AL44" s="302"/>
      <c r="AM44" s="156" t="s">
        <v>139</v>
      </c>
      <c r="AN44" s="157">
        <f>LEN(E23)</f>
        <v>6</v>
      </c>
      <c r="AO44" s="158"/>
      <c r="AP44" s="145"/>
      <c r="AQ44" s="145"/>
      <c r="AR44" s="145"/>
      <c r="AS44" s="145"/>
      <c r="AT44" s="150"/>
      <c r="AU44" s="150"/>
      <c r="AV44" s="150"/>
      <c r="AW44" s="150"/>
      <c r="AX44" s="151"/>
      <c r="AY44" s="151"/>
      <c r="AZ44" s="152"/>
      <c r="BA44" s="2"/>
      <c r="BB44" s="2"/>
      <c r="BC44" s="2"/>
      <c r="BD44" s="2"/>
      <c r="BE44" s="2"/>
      <c r="BF44" s="2"/>
      <c r="BG44" s="2"/>
      <c r="BH44" s="2"/>
      <c r="BI44" s="2"/>
      <c r="BJ44" s="2"/>
    </row>
    <row r="45" spans="1:62" ht="14.25" customHeight="1" x14ac:dyDescent="0.25">
      <c r="A45" s="357" t="s">
        <v>173</v>
      </c>
      <c r="B45" s="346"/>
      <c r="C45" s="346"/>
      <c r="D45" s="346"/>
      <c r="E45" s="346"/>
      <c r="F45" s="346" t="s">
        <v>173</v>
      </c>
      <c r="G45" s="346"/>
      <c r="H45" s="346"/>
      <c r="I45" s="346"/>
      <c r="J45" s="346"/>
      <c r="K45" s="346"/>
      <c r="L45" s="117"/>
      <c r="M45" s="117"/>
      <c r="N45" s="117"/>
      <c r="O45" s="117"/>
      <c r="P45" s="117"/>
      <c r="Q45" s="117"/>
      <c r="R45" s="194" t="s">
        <v>173</v>
      </c>
      <c r="S45" s="194"/>
      <c r="T45" s="194"/>
      <c r="U45" s="195"/>
      <c r="V45" s="19"/>
      <c r="W45" s="19"/>
      <c r="X45" s="19"/>
      <c r="Y45" s="19"/>
      <c r="Z45" s="19"/>
      <c r="AA45" s="19"/>
      <c r="AB45" s="19"/>
      <c r="AC45" s="19"/>
      <c r="AD45" s="19"/>
      <c r="AE45" s="19"/>
      <c r="AF45" s="19"/>
      <c r="AG45" s="19"/>
      <c r="AH45" s="120"/>
      <c r="AI45" s="145"/>
      <c r="AJ45" s="159"/>
      <c r="AK45" s="160" t="s">
        <v>191</v>
      </c>
      <c r="AL45" s="161"/>
      <c r="AM45" s="159"/>
      <c r="AN45" s="160" t="s">
        <v>144</v>
      </c>
      <c r="AO45" s="161">
        <f t="shared" ref="AO45:AO52" si="0">LEN(AN45)</f>
        <v>5</v>
      </c>
      <c r="AP45" s="145" t="s">
        <v>163</v>
      </c>
      <c r="AQ45" s="145"/>
      <c r="AR45" s="145"/>
      <c r="AS45" s="145"/>
      <c r="AT45" s="150"/>
      <c r="AU45" s="150"/>
      <c r="AV45" s="150"/>
      <c r="AW45" s="150"/>
      <c r="AX45" s="151"/>
      <c r="AY45" s="151"/>
      <c r="AZ45" s="152"/>
      <c r="BA45" s="2"/>
      <c r="BB45" s="2"/>
      <c r="BC45" s="2"/>
      <c r="BD45" s="2"/>
      <c r="BE45" s="2"/>
      <c r="BF45" s="2"/>
      <c r="BG45" s="2"/>
      <c r="BH45" s="2"/>
      <c r="BI45" s="2"/>
      <c r="BJ45" s="2"/>
    </row>
    <row r="46" spans="1:62" ht="15.75" customHeight="1" x14ac:dyDescent="0.25">
      <c r="A46" s="369" t="s">
        <v>158</v>
      </c>
      <c r="B46" s="370"/>
      <c r="C46" s="370"/>
      <c r="D46" s="370"/>
      <c r="E46" s="370"/>
      <c r="F46" s="370" t="s">
        <v>330</v>
      </c>
      <c r="G46" s="370"/>
      <c r="H46" s="370"/>
      <c r="I46" s="370"/>
      <c r="J46" s="370"/>
      <c r="K46" s="370"/>
      <c r="L46" s="370" t="s">
        <v>159</v>
      </c>
      <c r="M46" s="370"/>
      <c r="N46" s="370"/>
      <c r="O46" s="370"/>
      <c r="P46" s="370"/>
      <c r="Q46" s="370"/>
      <c r="R46" s="367" t="s">
        <v>160</v>
      </c>
      <c r="S46" s="367"/>
      <c r="T46" s="367"/>
      <c r="U46" s="368"/>
      <c r="V46" s="19"/>
      <c r="W46" s="19"/>
      <c r="X46" s="19"/>
      <c r="Y46" s="19"/>
      <c r="Z46" s="19"/>
      <c r="AA46" s="19"/>
      <c r="AB46" s="19"/>
      <c r="AC46" s="19"/>
      <c r="AD46" s="19"/>
      <c r="AE46" s="19"/>
      <c r="AF46" s="19"/>
      <c r="AG46" s="19"/>
      <c r="AH46" s="120"/>
      <c r="AI46" s="145"/>
      <c r="AJ46" s="159"/>
      <c r="AK46" s="160" t="s">
        <v>146</v>
      </c>
      <c r="AL46" s="161"/>
      <c r="AM46" s="159"/>
      <c r="AN46" s="160" t="s">
        <v>140</v>
      </c>
      <c r="AO46" s="161">
        <f t="shared" si="0"/>
        <v>6</v>
      </c>
      <c r="AP46" s="145" t="s">
        <v>4</v>
      </c>
      <c r="AQ46" s="145"/>
      <c r="AR46" s="145"/>
      <c r="AS46" s="145"/>
      <c r="AT46" s="150"/>
      <c r="AU46" s="150"/>
      <c r="AV46" s="150"/>
      <c r="AW46" s="150"/>
      <c r="AX46" s="151"/>
      <c r="AY46" s="151"/>
      <c r="AZ46" s="152"/>
      <c r="BA46" s="2"/>
      <c r="BB46" s="2"/>
      <c r="BC46" s="2"/>
      <c r="BD46" s="2"/>
      <c r="BE46" s="2"/>
      <c r="BF46" s="2"/>
      <c r="BG46" s="2"/>
      <c r="BH46" s="2"/>
      <c r="BI46" s="2"/>
      <c r="BJ46" s="2"/>
    </row>
    <row r="47" spans="1:62" ht="14.25" customHeight="1" x14ac:dyDescent="0.25">
      <c r="V47" s="19"/>
      <c r="W47" s="19"/>
      <c r="X47" s="19"/>
      <c r="Y47" s="19"/>
      <c r="Z47" s="19"/>
      <c r="AA47" s="19"/>
      <c r="AB47" s="19"/>
      <c r="AC47" s="19"/>
      <c r="AD47" s="19"/>
      <c r="AE47" s="19"/>
      <c r="AF47" s="19"/>
      <c r="AG47" s="19"/>
      <c r="AH47" s="120"/>
      <c r="AI47" s="145"/>
      <c r="AJ47" s="145"/>
      <c r="AK47" s="160" t="s">
        <v>147</v>
      </c>
      <c r="AL47" s="145"/>
      <c r="AM47" s="145"/>
      <c r="AN47" s="162" t="s">
        <v>266</v>
      </c>
      <c r="AO47" s="161">
        <f t="shared" si="0"/>
        <v>7</v>
      </c>
      <c r="AP47" s="145" t="s">
        <v>12</v>
      </c>
      <c r="AQ47" s="145"/>
      <c r="AR47" s="145"/>
      <c r="AS47" s="145"/>
      <c r="AT47" s="150"/>
      <c r="AU47" s="150"/>
      <c r="AV47" s="150"/>
      <c r="AW47" s="150"/>
      <c r="AX47" s="151"/>
      <c r="AY47" s="151"/>
      <c r="AZ47" s="152"/>
      <c r="BA47" s="2"/>
      <c r="BB47" s="2"/>
      <c r="BC47" s="2"/>
      <c r="BD47" s="2"/>
      <c r="BE47" s="2"/>
      <c r="BF47" s="2"/>
      <c r="BG47" s="2"/>
      <c r="BH47" s="2"/>
      <c r="BI47" s="2"/>
      <c r="BJ47" s="2"/>
    </row>
    <row r="48" spans="1:62" ht="16.5" customHeight="1" x14ac:dyDescent="0.25">
      <c r="A48" s="371" t="s">
        <v>220</v>
      </c>
      <c r="B48" s="372"/>
      <c r="C48" s="72"/>
      <c r="D48" s="73"/>
      <c r="E48" s="73"/>
      <c r="F48" s="73"/>
      <c r="G48" s="371" t="s">
        <v>217</v>
      </c>
      <c r="H48" s="372"/>
      <c r="I48" s="207" t="s">
        <v>259</v>
      </c>
      <c r="J48" s="376"/>
      <c r="K48" s="376"/>
      <c r="L48" s="376"/>
      <c r="M48" s="377"/>
      <c r="N48" s="371" t="s">
        <v>218</v>
      </c>
      <c r="O48" s="375"/>
      <c r="P48" s="375"/>
      <c r="Q48" s="375"/>
      <c r="R48" s="376"/>
      <c r="S48" s="376"/>
      <c r="T48" s="376"/>
      <c r="U48" s="376"/>
      <c r="V48" s="121"/>
      <c r="W48" s="121"/>
      <c r="X48" s="121"/>
      <c r="Y48" s="121"/>
      <c r="Z48" s="121"/>
      <c r="AA48" s="121"/>
      <c r="AB48" s="121"/>
      <c r="AC48" s="121" t="s">
        <v>367</v>
      </c>
      <c r="AD48" s="121"/>
      <c r="AE48" s="121"/>
      <c r="AF48" s="121"/>
      <c r="AG48" s="121"/>
      <c r="AH48" s="128"/>
      <c r="AI48" s="145"/>
      <c r="AJ48" s="145"/>
      <c r="AK48" s="145" t="s">
        <v>148</v>
      </c>
      <c r="AL48" s="145"/>
      <c r="AM48" s="145"/>
      <c r="AN48" s="160" t="s">
        <v>273</v>
      </c>
      <c r="AO48" s="161">
        <f t="shared" si="0"/>
        <v>8</v>
      </c>
      <c r="AP48" s="145" t="s">
        <v>12</v>
      </c>
      <c r="AQ48" s="145"/>
      <c r="AR48" s="145"/>
      <c r="AS48" s="145"/>
      <c r="AT48" s="150"/>
      <c r="AU48" s="150"/>
      <c r="AV48" s="150"/>
      <c r="AW48" s="150"/>
      <c r="AX48" s="151"/>
      <c r="AY48" s="151"/>
      <c r="AZ48" s="152"/>
      <c r="BA48" s="2"/>
      <c r="BB48" s="2"/>
      <c r="BC48" s="2"/>
      <c r="BD48" s="2"/>
      <c r="BE48" s="2"/>
      <c r="BF48" s="2"/>
      <c r="BG48" s="2"/>
      <c r="BH48" s="2"/>
      <c r="BI48" s="2"/>
      <c r="BJ48" s="2"/>
    </row>
    <row r="49" spans="1:62" x14ac:dyDescent="0.25">
      <c r="A49" s="371" t="s">
        <v>258</v>
      </c>
      <c r="B49" s="372"/>
      <c r="C49" s="72"/>
      <c r="D49" s="73"/>
      <c r="E49" s="73"/>
      <c r="F49" s="73"/>
      <c r="G49" s="371" t="s">
        <v>217</v>
      </c>
      <c r="H49" s="372"/>
      <c r="I49" s="207" t="s">
        <v>259</v>
      </c>
      <c r="J49" s="376"/>
      <c r="K49" s="376"/>
      <c r="L49" s="376"/>
      <c r="M49" s="377"/>
      <c r="N49" s="371" t="s">
        <v>159</v>
      </c>
      <c r="O49" s="375"/>
      <c r="P49" s="375"/>
      <c r="Q49" s="375"/>
      <c r="R49" s="378"/>
      <c r="S49" s="378"/>
      <c r="T49" s="378"/>
      <c r="U49" s="378"/>
      <c r="V49" s="121"/>
      <c r="W49" s="121"/>
      <c r="X49" s="121"/>
      <c r="Y49" s="121"/>
      <c r="Z49" s="121"/>
      <c r="AA49" s="121"/>
      <c r="AB49" s="121"/>
      <c r="AC49" s="121" t="s">
        <v>65</v>
      </c>
      <c r="AD49" s="121"/>
      <c r="AE49" s="121"/>
      <c r="AF49" s="121"/>
      <c r="AG49" s="121"/>
      <c r="AH49" s="128"/>
      <c r="AI49" s="145"/>
      <c r="AJ49" s="145"/>
      <c r="AK49" s="145" t="s">
        <v>149</v>
      </c>
      <c r="AL49" s="145"/>
      <c r="AM49" s="145"/>
      <c r="AN49" s="160" t="s">
        <v>337</v>
      </c>
      <c r="AO49" s="161">
        <f t="shared" si="0"/>
        <v>9</v>
      </c>
      <c r="AP49" s="145" t="s">
        <v>12</v>
      </c>
      <c r="AQ49" s="145"/>
      <c r="AR49" s="145"/>
      <c r="AS49" s="145"/>
      <c r="AT49" s="150"/>
      <c r="AU49" s="150"/>
      <c r="AV49" s="150"/>
      <c r="AW49" s="150"/>
      <c r="AX49" s="151"/>
      <c r="AY49" s="151"/>
      <c r="AZ49" s="152"/>
      <c r="BA49" s="2"/>
      <c r="BB49" s="2"/>
      <c r="BC49" s="2"/>
      <c r="BD49" s="2"/>
      <c r="BE49" s="2"/>
      <c r="BF49" s="2"/>
      <c r="BG49" s="2"/>
      <c r="BH49" s="2"/>
      <c r="BI49" s="2"/>
      <c r="BJ49" s="2"/>
    </row>
    <row r="50" spans="1:62" x14ac:dyDescent="0.25">
      <c r="A50" s="371" t="s">
        <v>267</v>
      </c>
      <c r="B50" s="372"/>
      <c r="C50" s="373"/>
      <c r="D50" s="374"/>
      <c r="T50" s="379">
        <f ca="1">C11</f>
        <v>45981.40394178241</v>
      </c>
      <c r="U50" s="380"/>
      <c r="V50" s="121"/>
      <c r="W50" s="121"/>
      <c r="X50" s="121"/>
      <c r="Y50" s="121"/>
      <c r="Z50" s="121"/>
      <c r="AA50" s="121"/>
      <c r="AB50" s="121"/>
      <c r="AC50" s="121" t="s">
        <v>66</v>
      </c>
      <c r="AD50" s="121"/>
      <c r="AE50" s="121"/>
      <c r="AF50" s="121"/>
      <c r="AG50" s="121"/>
      <c r="AH50" s="128"/>
      <c r="AI50" s="145"/>
      <c r="AJ50" s="145"/>
      <c r="AK50" s="145" t="s">
        <v>150</v>
      </c>
      <c r="AL50" s="145"/>
      <c r="AM50" s="145"/>
      <c r="AN50" s="160" t="s">
        <v>143</v>
      </c>
      <c r="AO50" s="161">
        <f t="shared" si="0"/>
        <v>13</v>
      </c>
      <c r="AP50" s="145" t="s">
        <v>12</v>
      </c>
      <c r="AQ50" s="145"/>
      <c r="AR50" s="145"/>
      <c r="AS50" s="145"/>
      <c r="AT50" s="150"/>
      <c r="AU50" s="150"/>
      <c r="AV50" s="150"/>
      <c r="AW50" s="150"/>
      <c r="AX50" s="151"/>
      <c r="AY50" s="151"/>
      <c r="AZ50" s="152"/>
      <c r="BA50" s="2"/>
      <c r="BB50" s="2"/>
      <c r="BC50" s="2"/>
      <c r="BD50" s="2"/>
      <c r="BE50" s="2"/>
      <c r="BF50" s="2"/>
      <c r="BG50" s="2"/>
      <c r="BH50" s="2"/>
      <c r="BI50" s="2"/>
      <c r="BJ50" s="2"/>
    </row>
    <row r="51" spans="1:62" x14ac:dyDescent="0.25">
      <c r="U51" s="129">
        <v>45656</v>
      </c>
      <c r="V51" s="121"/>
      <c r="W51" s="121"/>
      <c r="X51" s="121"/>
      <c r="Y51" s="121"/>
      <c r="Z51" s="121"/>
      <c r="AA51" s="121"/>
      <c r="AB51" s="121"/>
      <c r="AC51" s="121" t="s">
        <v>67</v>
      </c>
      <c r="AD51" s="121"/>
      <c r="AE51" s="121"/>
      <c r="AF51" s="121"/>
      <c r="AG51" s="121"/>
      <c r="AH51" s="128"/>
      <c r="AI51" s="145"/>
      <c r="AJ51" s="150"/>
      <c r="AK51" s="145" t="s">
        <v>151</v>
      </c>
      <c r="AL51" s="150"/>
      <c r="AM51" s="150"/>
      <c r="AN51" s="160" t="s">
        <v>141</v>
      </c>
      <c r="AO51" s="161">
        <f t="shared" si="0"/>
        <v>14</v>
      </c>
      <c r="AP51" s="145" t="s">
        <v>12</v>
      </c>
      <c r="AQ51" s="145"/>
      <c r="AR51" s="145"/>
      <c r="AS51" s="145">
        <f t="array" ref="AS51">IF(Q20="",0,VLOOKUP(Q20,AR53:AS91,2,AS53:AS91))</f>
        <v>0</v>
      </c>
      <c r="AT51" s="150"/>
      <c r="AU51" s="150"/>
      <c r="AV51" s="150"/>
      <c r="AW51" s="150"/>
      <c r="AX51" s="151"/>
      <c r="AY51" s="151"/>
      <c r="AZ51" s="152"/>
      <c r="BA51" s="2"/>
      <c r="BB51" s="2"/>
      <c r="BC51" s="2"/>
      <c r="BD51" s="2"/>
      <c r="BE51" s="2"/>
      <c r="BF51" s="2"/>
      <c r="BG51" s="2"/>
      <c r="BH51" s="2"/>
      <c r="BI51" s="2"/>
      <c r="BJ51" s="2"/>
    </row>
    <row r="52" spans="1:62" x14ac:dyDescent="0.25">
      <c r="V52" s="121"/>
      <c r="W52" s="121"/>
      <c r="X52" s="121"/>
      <c r="Y52" s="121"/>
      <c r="Z52" s="121"/>
      <c r="AA52" s="121"/>
      <c r="AB52" s="121"/>
      <c r="AC52" s="121"/>
      <c r="AD52" s="121"/>
      <c r="AE52" s="121"/>
      <c r="AF52" s="121"/>
      <c r="AG52" s="121"/>
      <c r="AH52" s="128"/>
      <c r="AI52" s="145"/>
      <c r="AJ52" s="150"/>
      <c r="AK52" s="145" t="s">
        <v>172</v>
      </c>
      <c r="AL52" s="150"/>
      <c r="AM52" s="145"/>
      <c r="AN52" s="160" t="s">
        <v>142</v>
      </c>
      <c r="AO52" s="161">
        <f t="shared" si="0"/>
        <v>15</v>
      </c>
      <c r="AP52" s="150"/>
      <c r="AQ52" s="145"/>
      <c r="AR52" s="163" t="s">
        <v>176</v>
      </c>
      <c r="AS52" s="163" t="s">
        <v>52</v>
      </c>
      <c r="AT52" s="150"/>
      <c r="AU52" s="150" t="s">
        <v>221</v>
      </c>
      <c r="AV52" s="150"/>
      <c r="AW52" s="150"/>
      <c r="AX52" s="151"/>
      <c r="AY52" s="151"/>
      <c r="AZ52" s="152"/>
      <c r="BA52" s="2"/>
      <c r="BB52" s="2"/>
      <c r="BC52" s="2"/>
      <c r="BD52" s="2"/>
      <c r="BE52" s="2"/>
      <c r="BF52" s="2"/>
      <c r="BG52" s="2"/>
      <c r="BH52" s="2"/>
      <c r="BI52" s="2"/>
      <c r="BJ52" s="2"/>
    </row>
    <row r="53" spans="1:62" x14ac:dyDescent="0.25">
      <c r="V53" s="130"/>
      <c r="W53" s="130"/>
      <c r="X53" s="130"/>
      <c r="Y53" s="130"/>
      <c r="Z53" s="130"/>
      <c r="AA53" s="130"/>
      <c r="AB53" s="130"/>
      <c r="AC53" s="130"/>
      <c r="AD53" s="130"/>
      <c r="AE53" s="130"/>
      <c r="AF53" s="130"/>
      <c r="AG53" s="130"/>
      <c r="AH53" s="130"/>
      <c r="AI53" s="145"/>
      <c r="AJ53" s="150"/>
      <c r="AK53" s="150"/>
      <c r="AL53" s="150"/>
      <c r="AM53" s="150"/>
      <c r="AN53" s="160"/>
      <c r="AO53" s="161"/>
      <c r="AP53" s="150"/>
      <c r="AQ53" s="145" t="str">
        <f t="array" ref="AQ53">IF(S23="CORTE ESPECIAL ",AR53,"")</f>
        <v/>
      </c>
      <c r="AR53" s="145">
        <v>1</v>
      </c>
      <c r="AS53" s="145">
        <v>20</v>
      </c>
      <c r="AT53" s="150"/>
      <c r="AU53" s="150"/>
      <c r="AV53" s="150"/>
      <c r="AW53" s="150"/>
      <c r="AX53" s="151"/>
      <c r="AY53" s="151"/>
      <c r="AZ53" s="152"/>
      <c r="BA53" s="2"/>
      <c r="BB53" s="2"/>
      <c r="BC53" s="2"/>
      <c r="BD53" s="2"/>
      <c r="BE53" s="2"/>
      <c r="BF53" s="2"/>
      <c r="BG53" s="2"/>
      <c r="BH53" s="2"/>
      <c r="BI53" s="2"/>
      <c r="BJ53" s="2"/>
    </row>
    <row r="54" spans="1:62" x14ac:dyDescent="0.25">
      <c r="V54" s="130"/>
      <c r="W54" s="130"/>
      <c r="X54" s="130"/>
      <c r="Y54" s="130"/>
      <c r="Z54" s="130"/>
      <c r="AA54" s="130"/>
      <c r="AB54" s="130"/>
      <c r="AC54" s="130"/>
      <c r="AD54" s="130"/>
      <c r="AE54" s="130"/>
      <c r="AF54" s="130"/>
      <c r="AG54" s="130"/>
      <c r="AH54" s="130"/>
      <c r="AI54" s="145"/>
      <c r="AJ54" s="150"/>
      <c r="AK54" s="150"/>
      <c r="AL54" s="150"/>
      <c r="AM54" s="150"/>
      <c r="AN54" s="150"/>
      <c r="AO54" s="150"/>
      <c r="AP54" s="150"/>
      <c r="AQ54" s="145" t="str">
        <f>IF(S23="CORTE ESPECIAL ",AR54,"")</f>
        <v/>
      </c>
      <c r="AR54" s="145">
        <v>2</v>
      </c>
      <c r="AS54" s="145">
        <v>30</v>
      </c>
      <c r="AT54" s="150"/>
      <c r="AU54" s="164" t="s">
        <v>262</v>
      </c>
      <c r="AV54" s="150"/>
      <c r="AW54" s="150"/>
      <c r="AX54" s="151"/>
      <c r="AY54" s="151"/>
      <c r="AZ54" s="152"/>
      <c r="BA54" s="2"/>
      <c r="BB54" s="2"/>
      <c r="BC54" s="2"/>
      <c r="BD54" s="2"/>
      <c r="BE54" s="2"/>
      <c r="BF54" s="2"/>
      <c r="BG54" s="2"/>
      <c r="BH54" s="2"/>
      <c r="BI54" s="2"/>
      <c r="BJ54" s="2"/>
    </row>
    <row r="55" spans="1:62" x14ac:dyDescent="0.25">
      <c r="V55" s="130"/>
      <c r="W55" s="130"/>
      <c r="X55" s="130"/>
      <c r="Y55" s="130"/>
      <c r="Z55" s="130"/>
      <c r="AA55" s="130"/>
      <c r="AB55" s="130"/>
      <c r="AC55" s="130"/>
      <c r="AD55" s="130"/>
      <c r="AE55" s="130"/>
      <c r="AF55" s="130"/>
      <c r="AG55" s="130"/>
      <c r="AH55" s="130"/>
      <c r="AI55" s="145"/>
      <c r="AJ55" s="150"/>
      <c r="AK55" s="150"/>
      <c r="AL55" s="150"/>
      <c r="AM55" s="150"/>
      <c r="AN55" s="150" t="e">
        <f>VLOOKUP(Tabela!AN44,Tabela!AO45:AQ52,2,Tabela!AO45:AO49)</f>
        <v>#VALUE!</v>
      </c>
      <c r="AO55" s="150"/>
      <c r="AP55" s="150"/>
      <c r="AQ55" s="145" t="str">
        <f>IF(S23="CORTE ESPECIAL ",AR55,"")</f>
        <v/>
      </c>
      <c r="AR55" s="145">
        <v>3</v>
      </c>
      <c r="AS55" s="145">
        <v>40</v>
      </c>
      <c r="AT55" s="150"/>
      <c r="AU55" s="164" t="s">
        <v>263</v>
      </c>
      <c r="AV55" s="150"/>
      <c r="AW55" s="150"/>
      <c r="AX55" s="151"/>
      <c r="AY55" s="151"/>
      <c r="AZ55" s="152"/>
      <c r="BA55" s="2"/>
      <c r="BB55" s="2"/>
      <c r="BC55" s="2"/>
      <c r="BD55" s="2"/>
      <c r="BE55" s="2"/>
      <c r="BF55" s="2"/>
      <c r="BG55" s="2"/>
      <c r="BH55" s="2"/>
      <c r="BI55" s="2"/>
      <c r="BJ55" s="2"/>
    </row>
    <row r="56" spans="1:62" x14ac:dyDescent="0.25">
      <c r="V56" s="130"/>
      <c r="W56" s="130"/>
      <c r="X56" s="130"/>
      <c r="Y56" s="130"/>
      <c r="Z56" s="130"/>
      <c r="AA56" s="130"/>
      <c r="AB56" s="130"/>
      <c r="AC56" s="130"/>
      <c r="AD56" s="130"/>
      <c r="AE56" s="130"/>
      <c r="AF56" s="130"/>
      <c r="AG56" s="130"/>
      <c r="AH56" s="130"/>
      <c r="AI56" s="145"/>
      <c r="AJ56" s="156"/>
      <c r="AK56" s="156" t="s">
        <v>100</v>
      </c>
      <c r="AL56" s="158">
        <f>LEN(O25)</f>
        <v>6</v>
      </c>
      <c r="AM56" s="150"/>
      <c r="AN56" s="150"/>
      <c r="AO56" s="150"/>
      <c r="AP56" s="150"/>
      <c r="AQ56" s="145" t="str">
        <f>IF(S23="CORTE ESPECIAL ",AR56,"")</f>
        <v/>
      </c>
      <c r="AR56" s="145">
        <v>4</v>
      </c>
      <c r="AS56" s="145">
        <v>50</v>
      </c>
      <c r="AT56" s="150"/>
      <c r="AU56" s="164" t="s">
        <v>260</v>
      </c>
      <c r="AV56" s="150"/>
      <c r="AW56" s="150"/>
      <c r="AX56" s="151"/>
      <c r="AY56" s="151"/>
      <c r="AZ56" s="152"/>
      <c r="BA56" s="2"/>
      <c r="BB56" s="2"/>
      <c r="BC56" s="2"/>
      <c r="BD56" s="2"/>
      <c r="BE56" s="2"/>
      <c r="BF56" s="2"/>
      <c r="BG56" s="2"/>
      <c r="BH56" s="2"/>
      <c r="BI56" s="2"/>
      <c r="BJ56" s="2"/>
    </row>
    <row r="57" spans="1:62" x14ac:dyDescent="0.25">
      <c r="V57" s="130"/>
      <c r="W57" s="130"/>
      <c r="X57" s="130"/>
      <c r="Y57" s="130"/>
      <c r="Z57" s="130"/>
      <c r="AA57" s="130"/>
      <c r="AB57" s="130"/>
      <c r="AC57" s="130"/>
      <c r="AD57" s="130"/>
      <c r="AE57" s="130"/>
      <c r="AF57" s="130"/>
      <c r="AG57" s="130"/>
      <c r="AH57" s="130"/>
      <c r="AI57" s="145"/>
      <c r="AJ57" s="159"/>
      <c r="AK57" s="160" t="s">
        <v>191</v>
      </c>
      <c r="AL57" s="161"/>
      <c r="AM57" s="150"/>
      <c r="AN57" s="153" t="s">
        <v>155</v>
      </c>
      <c r="AO57" s="154"/>
      <c r="AP57" s="155"/>
      <c r="AQ57" s="145" t="str">
        <f>IF(S23="CORTE ESPECIAL ",AR57,"")</f>
        <v/>
      </c>
      <c r="AR57" s="145">
        <v>5</v>
      </c>
      <c r="AS57" s="145">
        <v>60</v>
      </c>
      <c r="AT57" s="150"/>
      <c r="AU57" s="164" t="s">
        <v>222</v>
      </c>
      <c r="AV57" s="150"/>
      <c r="AW57" s="150"/>
      <c r="AX57" s="151"/>
      <c r="AY57" s="151"/>
      <c r="AZ57" s="152"/>
      <c r="BA57" s="2"/>
      <c r="BB57" s="2"/>
      <c r="BC57" s="2"/>
      <c r="BD57" s="2"/>
      <c r="BE57" s="2"/>
      <c r="BF57" s="2"/>
      <c r="BG57" s="2"/>
      <c r="BH57" s="2"/>
      <c r="BI57" s="2"/>
      <c r="BJ57" s="2"/>
    </row>
    <row r="58" spans="1:62" x14ac:dyDescent="0.25">
      <c r="V58" s="130"/>
      <c r="W58" s="130"/>
      <c r="X58" s="130"/>
      <c r="Y58" s="130"/>
      <c r="Z58" s="130"/>
      <c r="AA58" s="130"/>
      <c r="AB58" s="130"/>
      <c r="AC58" s="130"/>
      <c r="AD58" s="130"/>
      <c r="AE58" s="130"/>
      <c r="AF58" s="130"/>
      <c r="AG58" s="130"/>
      <c r="AH58" s="130"/>
      <c r="AI58" s="145"/>
      <c r="AJ58" s="159"/>
      <c r="AK58" s="160" t="s">
        <v>152</v>
      </c>
      <c r="AL58" s="161">
        <f t="shared" ref="AL58:AL64" si="1">LEN(AK58)</f>
        <v>6</v>
      </c>
      <c r="AM58" s="145">
        <v>2</v>
      </c>
      <c r="AN58" s="159"/>
      <c r="AO58" s="160">
        <v>10</v>
      </c>
      <c r="AP58" s="161">
        <v>10</v>
      </c>
      <c r="AQ58" s="145" t="str">
        <f>IF(S23="CORTE ESPECIAL ",AR58,"")</f>
        <v/>
      </c>
      <c r="AR58" s="145">
        <v>6</v>
      </c>
      <c r="AS58" s="145">
        <v>70</v>
      </c>
      <c r="AT58" s="150"/>
      <c r="AU58" s="164" t="s">
        <v>223</v>
      </c>
      <c r="AV58" s="150"/>
      <c r="AW58" s="150"/>
      <c r="AX58" s="151"/>
      <c r="AY58" s="151"/>
      <c r="AZ58" s="152"/>
      <c r="BA58" s="2"/>
      <c r="BB58" s="2"/>
      <c r="BC58" s="2"/>
      <c r="BD58" s="2"/>
      <c r="BE58" s="2"/>
      <c r="BF58" s="2"/>
      <c r="BG58" s="2"/>
      <c r="BH58" s="2"/>
      <c r="BI58" s="2"/>
      <c r="BJ58" s="2"/>
    </row>
    <row r="59" spans="1:62" x14ac:dyDescent="0.25">
      <c r="V59" s="130"/>
      <c r="W59" s="130"/>
      <c r="X59" s="130"/>
      <c r="Y59" s="130"/>
      <c r="Z59" s="130"/>
      <c r="AA59" s="130"/>
      <c r="AB59" s="130"/>
      <c r="AC59" s="130"/>
      <c r="AD59" s="130"/>
      <c r="AE59" s="130"/>
      <c r="AF59" s="130"/>
      <c r="AG59" s="130"/>
      <c r="AH59" s="130"/>
      <c r="AI59" s="145"/>
      <c r="AJ59" s="145"/>
      <c r="AK59" s="160" t="s">
        <v>197</v>
      </c>
      <c r="AL59" s="161">
        <f t="shared" si="1"/>
        <v>7</v>
      </c>
      <c r="AM59" s="145">
        <v>3</v>
      </c>
      <c r="AN59" s="159"/>
      <c r="AO59" s="160">
        <v>12</v>
      </c>
      <c r="AP59" s="161">
        <v>12</v>
      </c>
      <c r="AQ59" s="145" t="str">
        <f>IF(S23="CORTE ESPECIAL ",AR59,"")</f>
        <v/>
      </c>
      <c r="AR59" s="145">
        <v>7</v>
      </c>
      <c r="AS59" s="145">
        <v>80</v>
      </c>
      <c r="AT59" s="150"/>
      <c r="AU59" s="164" t="s">
        <v>224</v>
      </c>
      <c r="AV59" s="150"/>
      <c r="AW59" s="150"/>
      <c r="AX59" s="151"/>
      <c r="AY59" s="151"/>
      <c r="AZ59" s="152"/>
      <c r="BA59" s="2"/>
      <c r="BB59" s="2"/>
      <c r="BC59" s="2"/>
      <c r="BD59" s="2"/>
      <c r="BE59" s="2"/>
      <c r="BF59" s="2"/>
      <c r="BG59" s="2"/>
      <c r="BH59" s="2"/>
      <c r="BI59" s="2"/>
      <c r="BJ59" s="2"/>
    </row>
    <row r="60" spans="1:62" x14ac:dyDescent="0.25">
      <c r="V60" s="130"/>
      <c r="W60" s="130"/>
      <c r="X60" s="130"/>
      <c r="Y60" s="130"/>
      <c r="Z60" s="130"/>
      <c r="AA60" s="130"/>
      <c r="AB60" s="130"/>
      <c r="AC60" s="130"/>
      <c r="AD60" s="130"/>
      <c r="AE60" s="130"/>
      <c r="AF60" s="130"/>
      <c r="AG60" s="130"/>
      <c r="AH60" s="130"/>
      <c r="AI60" s="145"/>
      <c r="AJ60" s="145"/>
      <c r="AK60" s="160" t="s">
        <v>198</v>
      </c>
      <c r="AL60" s="161">
        <f t="shared" si="1"/>
        <v>9</v>
      </c>
      <c r="AM60" s="145">
        <v>4</v>
      </c>
      <c r="AN60" s="145"/>
      <c r="AO60" s="160">
        <v>15</v>
      </c>
      <c r="AP60" s="145">
        <v>15</v>
      </c>
      <c r="AQ60" s="145" t="str">
        <f>IF(S23="CORTE ESPECIAL ",AR60,"")</f>
        <v/>
      </c>
      <c r="AR60" s="145">
        <v>8</v>
      </c>
      <c r="AS60" s="145">
        <v>90</v>
      </c>
      <c r="AT60" s="150"/>
      <c r="AU60" s="164" t="s">
        <v>225</v>
      </c>
      <c r="AV60" s="150"/>
      <c r="AW60" s="150"/>
      <c r="AX60" s="151"/>
      <c r="AY60" s="151"/>
      <c r="AZ60" s="152"/>
      <c r="BA60" s="2"/>
      <c r="BB60" s="2"/>
      <c r="BC60" s="2"/>
      <c r="BD60" s="2"/>
      <c r="BE60" s="2"/>
      <c r="BF60" s="2"/>
      <c r="BG60" s="2"/>
      <c r="BH60" s="2"/>
      <c r="BI60" s="2"/>
      <c r="BJ60" s="2"/>
    </row>
    <row r="61" spans="1:62" x14ac:dyDescent="0.25">
      <c r="V61" s="130"/>
      <c r="W61" s="130"/>
      <c r="X61" s="130"/>
      <c r="Y61" s="130"/>
      <c r="Z61" s="130"/>
      <c r="AA61" s="130"/>
      <c r="AB61" s="130"/>
      <c r="AC61" s="130"/>
      <c r="AD61" s="130"/>
      <c r="AE61" s="130"/>
      <c r="AF61" s="130"/>
      <c r="AG61" s="130"/>
      <c r="AH61" s="130"/>
      <c r="AI61" s="145"/>
      <c r="AJ61" s="145"/>
      <c r="AK61" s="160" t="s">
        <v>170</v>
      </c>
      <c r="AL61" s="161">
        <f t="shared" si="1"/>
        <v>12</v>
      </c>
      <c r="AM61" s="145">
        <v>5</v>
      </c>
      <c r="AN61" s="145"/>
      <c r="AO61" s="160">
        <v>18</v>
      </c>
      <c r="AP61" s="145">
        <v>18</v>
      </c>
      <c r="AQ61" s="145" t="str">
        <f>IF(S23="CORTE ESPECIAL ",AR61,"")</f>
        <v/>
      </c>
      <c r="AR61" s="145">
        <v>9</v>
      </c>
      <c r="AS61" s="145">
        <v>100</v>
      </c>
      <c r="AT61" s="150"/>
      <c r="AU61" s="164" t="s">
        <v>226</v>
      </c>
      <c r="AV61" s="150"/>
      <c r="AW61" s="150"/>
      <c r="AX61" s="151"/>
      <c r="AY61" s="151"/>
      <c r="AZ61" s="152"/>
      <c r="BA61" s="2"/>
      <c r="BB61" s="2"/>
      <c r="BC61" s="2"/>
      <c r="BD61" s="2"/>
      <c r="BE61" s="2"/>
      <c r="BF61" s="2"/>
      <c r="BG61" s="2"/>
      <c r="BH61" s="2"/>
      <c r="BI61" s="2"/>
      <c r="BJ61" s="2"/>
    </row>
    <row r="62" spans="1:62" x14ac:dyDescent="0.25">
      <c r="V62" s="130"/>
      <c r="W62" s="130"/>
      <c r="X62" s="130"/>
      <c r="Y62" s="130"/>
      <c r="Z62" s="130"/>
      <c r="AA62" s="130"/>
      <c r="AB62" s="130"/>
      <c r="AC62" s="130"/>
      <c r="AD62" s="130"/>
      <c r="AE62" s="130"/>
      <c r="AF62" s="130"/>
      <c r="AG62" s="130"/>
      <c r="AH62" s="130"/>
      <c r="AI62" s="145"/>
      <c r="AJ62" s="145"/>
      <c r="AK62" s="160" t="s">
        <v>171</v>
      </c>
      <c r="AL62" s="161">
        <f t="shared" si="1"/>
        <v>13</v>
      </c>
      <c r="AM62" s="145">
        <v>6</v>
      </c>
      <c r="AN62" s="145"/>
      <c r="AO62" s="160">
        <v>20</v>
      </c>
      <c r="AP62" s="145">
        <v>20</v>
      </c>
      <c r="AQ62" s="145" t="str">
        <f>IF(S23="CORTE ESPECIAL ",AR62,"")</f>
        <v/>
      </c>
      <c r="AR62" s="145">
        <v>10</v>
      </c>
      <c r="AS62" s="145">
        <v>110</v>
      </c>
      <c r="AT62" s="150"/>
      <c r="AU62" s="164" t="s">
        <v>227</v>
      </c>
      <c r="AV62" s="150"/>
      <c r="AW62" s="150"/>
      <c r="AX62" s="151"/>
      <c r="AY62" s="151"/>
      <c r="AZ62" s="152"/>
      <c r="BA62" s="2"/>
      <c r="BB62" s="2"/>
      <c r="BC62" s="2"/>
      <c r="BD62" s="2"/>
      <c r="BE62" s="2"/>
      <c r="BF62" s="2"/>
      <c r="BG62" s="2"/>
      <c r="BH62" s="2"/>
      <c r="BI62" s="2"/>
      <c r="BJ62" s="2"/>
    </row>
    <row r="63" spans="1:62" x14ac:dyDescent="0.25">
      <c r="V63" s="130"/>
      <c r="W63" s="130"/>
      <c r="X63" s="130"/>
      <c r="Y63" s="130"/>
      <c r="Z63" s="130"/>
      <c r="AA63" s="130"/>
      <c r="AB63" s="130"/>
      <c r="AC63" s="130"/>
      <c r="AD63" s="130"/>
      <c r="AE63" s="130"/>
      <c r="AF63" s="130"/>
      <c r="AG63" s="130"/>
      <c r="AH63" s="130"/>
      <c r="AI63" s="145"/>
      <c r="AJ63" s="145"/>
      <c r="AK63" s="160" t="s">
        <v>153</v>
      </c>
      <c r="AL63" s="161">
        <f t="shared" si="1"/>
        <v>14</v>
      </c>
      <c r="AM63" s="145">
        <v>7</v>
      </c>
      <c r="AN63" s="145"/>
      <c r="AO63" s="160">
        <v>21</v>
      </c>
      <c r="AP63" s="145">
        <v>20</v>
      </c>
      <c r="AQ63" s="145" t="str">
        <f>IF(S23="CORTE ESPECIAL ",AR63,"")</f>
        <v/>
      </c>
      <c r="AR63" s="145">
        <v>11</v>
      </c>
      <c r="AS63" s="145">
        <v>120</v>
      </c>
      <c r="AT63" s="150"/>
      <c r="AU63" s="164" t="s">
        <v>228</v>
      </c>
      <c r="AV63" s="150"/>
      <c r="AW63" s="150"/>
      <c r="AX63" s="151"/>
      <c r="AY63" s="151"/>
      <c r="AZ63" s="152"/>
      <c r="BA63" s="2"/>
      <c r="BB63" s="2"/>
      <c r="BC63" s="2"/>
      <c r="BD63" s="2"/>
      <c r="BE63" s="2"/>
      <c r="BF63" s="2"/>
      <c r="BG63" s="2"/>
      <c r="BH63" s="2"/>
      <c r="BI63" s="2"/>
      <c r="BJ63" s="2"/>
    </row>
    <row r="64" spans="1:62" x14ac:dyDescent="0.25">
      <c r="V64" s="130"/>
      <c r="W64" s="130"/>
      <c r="X64" s="130"/>
      <c r="Y64" s="130"/>
      <c r="Z64" s="130"/>
      <c r="AA64" s="130"/>
      <c r="AB64" s="130"/>
      <c r="AC64" s="130"/>
      <c r="AD64" s="130"/>
      <c r="AE64" s="130"/>
      <c r="AF64" s="130"/>
      <c r="AG64" s="130"/>
      <c r="AH64" s="130"/>
      <c r="AI64" s="145"/>
      <c r="AJ64" s="145"/>
      <c r="AK64" s="160" t="s">
        <v>154</v>
      </c>
      <c r="AL64" s="161">
        <f t="shared" si="1"/>
        <v>19</v>
      </c>
      <c r="AM64" s="145">
        <v>8</v>
      </c>
      <c r="AN64" s="145"/>
      <c r="AO64" s="160">
        <v>24</v>
      </c>
      <c r="AP64" s="145">
        <v>24</v>
      </c>
      <c r="AQ64" s="145" t="str">
        <f>IF(S23="CORTE ESPECIAL ",AR64,"")</f>
        <v/>
      </c>
      <c r="AR64" s="145">
        <v>12</v>
      </c>
      <c r="AS64" s="145">
        <v>130</v>
      </c>
      <c r="AT64" s="150"/>
      <c r="AU64" s="164" t="s">
        <v>231</v>
      </c>
      <c r="AV64" s="150"/>
      <c r="AW64" s="150"/>
      <c r="AX64" s="151"/>
      <c r="AY64" s="151"/>
      <c r="AZ64" s="152"/>
      <c r="BA64" s="2"/>
      <c r="BB64" s="2"/>
      <c r="BC64" s="2"/>
      <c r="BD64" s="2"/>
      <c r="BE64" s="2"/>
      <c r="BF64" s="2"/>
      <c r="BG64" s="2"/>
      <c r="BH64" s="2"/>
      <c r="BI64" s="2"/>
      <c r="BJ64" s="2"/>
    </row>
    <row r="65" spans="22:62" x14ac:dyDescent="0.25">
      <c r="V65" s="130"/>
      <c r="W65" s="130"/>
      <c r="X65" s="130"/>
      <c r="Y65" s="130"/>
      <c r="Z65" s="130"/>
      <c r="AA65" s="130"/>
      <c r="AB65" s="130"/>
      <c r="AC65" s="130"/>
      <c r="AD65" s="130"/>
      <c r="AE65" s="130"/>
      <c r="AF65" s="130"/>
      <c r="AG65" s="130"/>
      <c r="AH65" s="130"/>
      <c r="AI65" s="145"/>
      <c r="AJ65" s="153" t="s">
        <v>157</v>
      </c>
      <c r="AK65" s="154"/>
      <c r="AL65" s="155"/>
      <c r="AM65" s="145"/>
      <c r="AN65" s="145"/>
      <c r="AO65" s="160">
        <v>28</v>
      </c>
      <c r="AP65" s="145">
        <v>28</v>
      </c>
      <c r="AQ65" s="145" t="str">
        <f>IF(S23="CORTE ESPECIAL ",AR65,"")</f>
        <v/>
      </c>
      <c r="AR65" s="145">
        <v>13</v>
      </c>
      <c r="AS65" s="145">
        <v>140</v>
      </c>
      <c r="AT65" s="150"/>
      <c r="AU65" s="164" t="s">
        <v>230</v>
      </c>
      <c r="AV65" s="150"/>
      <c r="AW65" s="150"/>
      <c r="AX65" s="151"/>
      <c r="AY65" s="151"/>
      <c r="AZ65" s="152"/>
      <c r="BA65" s="2"/>
      <c r="BB65" s="2"/>
      <c r="BC65" s="2"/>
      <c r="BD65" s="2"/>
      <c r="BE65" s="2"/>
      <c r="BF65" s="2"/>
      <c r="BG65" s="2"/>
      <c r="BH65" s="2"/>
      <c r="BI65" s="2"/>
      <c r="BJ65" s="2"/>
    </row>
    <row r="66" spans="22:62" x14ac:dyDescent="0.25">
      <c r="V66" s="130"/>
      <c r="W66" s="130"/>
      <c r="X66" s="130"/>
      <c r="Y66" s="130"/>
      <c r="Z66" s="130"/>
      <c r="AA66" s="130"/>
      <c r="AB66" s="130"/>
      <c r="AC66" s="130"/>
      <c r="AD66" s="130"/>
      <c r="AE66" s="130"/>
      <c r="AF66" s="130"/>
      <c r="AG66" s="130"/>
      <c r="AH66" s="130"/>
      <c r="AI66" s="145"/>
      <c r="AJ66" s="159"/>
      <c r="AK66" s="160">
        <v>300</v>
      </c>
      <c r="AL66" s="161"/>
      <c r="AM66" s="145"/>
      <c r="AN66" s="145"/>
      <c r="AO66" s="160">
        <v>30</v>
      </c>
      <c r="AP66" s="145">
        <v>30</v>
      </c>
      <c r="AQ66" s="145" t="str">
        <f>IF(S23="CORTE ESPECIAL ",AR66,"")</f>
        <v/>
      </c>
      <c r="AR66" s="145">
        <v>14</v>
      </c>
      <c r="AS66" s="145">
        <v>150</v>
      </c>
      <c r="AT66" s="150"/>
      <c r="AU66" s="164" t="s">
        <v>229</v>
      </c>
      <c r="AV66" s="150"/>
      <c r="AW66" s="150"/>
      <c r="AX66" s="151"/>
      <c r="AY66" s="151"/>
      <c r="AZ66" s="152"/>
      <c r="BA66" s="2"/>
      <c r="BB66" s="2"/>
      <c r="BC66" s="2"/>
      <c r="BD66" s="2"/>
      <c r="BE66" s="2"/>
      <c r="BF66" s="2"/>
      <c r="BG66" s="2"/>
      <c r="BH66" s="2"/>
      <c r="BI66" s="2"/>
      <c r="BJ66" s="2"/>
    </row>
    <row r="67" spans="22:62" x14ac:dyDescent="0.25">
      <c r="V67" s="130"/>
      <c r="W67" s="130"/>
      <c r="X67" s="130"/>
      <c r="Y67" s="130"/>
      <c r="Z67" s="130"/>
      <c r="AA67" s="130"/>
      <c r="AB67" s="130"/>
      <c r="AC67" s="130"/>
      <c r="AD67" s="130"/>
      <c r="AE67" s="130"/>
      <c r="AF67" s="130"/>
      <c r="AG67" s="130"/>
      <c r="AH67" s="130"/>
      <c r="AI67" s="145"/>
      <c r="AJ67" s="159"/>
      <c r="AK67" s="160">
        <v>500</v>
      </c>
      <c r="AL67" s="161"/>
      <c r="AM67" s="145"/>
      <c r="AN67" s="145"/>
      <c r="AO67" s="160">
        <v>33</v>
      </c>
      <c r="AP67" s="145">
        <v>32</v>
      </c>
      <c r="AQ67" s="145" t="str">
        <f>IF(S23="CORTE ESPECIAL ",AR67,"")</f>
        <v/>
      </c>
      <c r="AR67" s="145">
        <v>15</v>
      </c>
      <c r="AS67" s="145">
        <v>160</v>
      </c>
      <c r="AT67" s="150"/>
      <c r="AU67" s="164" t="s">
        <v>232</v>
      </c>
      <c r="AV67" s="150"/>
      <c r="AW67" s="150"/>
      <c r="AX67" s="151"/>
      <c r="AY67" s="151"/>
      <c r="AZ67" s="152"/>
      <c r="BA67" s="2"/>
      <c r="BB67" s="2"/>
      <c r="BC67" s="2"/>
      <c r="BD67" s="2"/>
      <c r="BE67" s="2"/>
      <c r="BF67" s="2"/>
      <c r="BG67" s="2"/>
      <c r="BH67" s="2"/>
      <c r="BI67" s="2"/>
      <c r="BJ67" s="2"/>
    </row>
    <row r="68" spans="22:62" x14ac:dyDescent="0.25">
      <c r="V68" s="130"/>
      <c r="W68" s="130"/>
      <c r="X68" s="130"/>
      <c r="Y68" s="130"/>
      <c r="Z68" s="130"/>
      <c r="AA68" s="130"/>
      <c r="AB68" s="130"/>
      <c r="AC68" s="130"/>
      <c r="AD68" s="130"/>
      <c r="AE68" s="130"/>
      <c r="AF68" s="130"/>
      <c r="AG68" s="130"/>
      <c r="AH68" s="130"/>
      <c r="AI68" s="145"/>
      <c r="AJ68" s="145"/>
      <c r="AK68" s="160">
        <v>1000</v>
      </c>
      <c r="AL68" s="145"/>
      <c r="AM68" s="145"/>
      <c r="AN68" s="145"/>
      <c r="AO68" s="160">
        <v>40</v>
      </c>
      <c r="AP68" s="145">
        <v>38</v>
      </c>
      <c r="AQ68" s="145" t="str">
        <f>IF(S23="CORTE ESPECIAL ",AR68,"")</f>
        <v/>
      </c>
      <c r="AR68" s="145">
        <v>16</v>
      </c>
      <c r="AS68" s="145">
        <v>170</v>
      </c>
      <c r="AT68" s="150"/>
      <c r="AU68" s="164" t="s">
        <v>233</v>
      </c>
      <c r="AV68" s="150"/>
      <c r="AW68" s="150"/>
      <c r="AX68" s="151"/>
      <c r="AY68" s="151"/>
      <c r="AZ68" s="152"/>
      <c r="BA68" s="2"/>
      <c r="BB68" s="2"/>
      <c r="BC68" s="2"/>
      <c r="BD68" s="2"/>
      <c r="BE68" s="2"/>
      <c r="BF68" s="2"/>
      <c r="BG68" s="2"/>
      <c r="BH68" s="2"/>
      <c r="BI68" s="2"/>
      <c r="BJ68" s="2"/>
    </row>
    <row r="69" spans="22:62" x14ac:dyDescent="0.25">
      <c r="V69" s="130"/>
      <c r="W69" s="130"/>
      <c r="X69" s="130"/>
      <c r="Y69" s="130"/>
      <c r="Z69" s="130"/>
      <c r="AA69" s="130"/>
      <c r="AB69" s="130"/>
      <c r="AC69" s="130"/>
      <c r="AD69" s="130"/>
      <c r="AE69" s="130"/>
      <c r="AF69" s="130"/>
      <c r="AG69" s="130"/>
      <c r="AH69" s="130"/>
      <c r="AI69" s="145"/>
      <c r="AJ69" s="145"/>
      <c r="AK69" s="160">
        <v>2500</v>
      </c>
      <c r="AL69" s="145"/>
      <c r="AM69" s="145"/>
      <c r="AN69" s="145"/>
      <c r="AO69" s="160">
        <v>50</v>
      </c>
      <c r="AP69" s="145">
        <v>47</v>
      </c>
      <c r="AQ69" s="145" t="str">
        <f>IF(S23="CORTE ESPECIAL ",AR69,"")</f>
        <v/>
      </c>
      <c r="AR69" s="145">
        <v>17</v>
      </c>
      <c r="AS69" s="145">
        <v>180</v>
      </c>
      <c r="AT69" s="150"/>
      <c r="AU69" s="164" t="s">
        <v>234</v>
      </c>
      <c r="AV69" s="150"/>
      <c r="AW69" s="150"/>
      <c r="AX69" s="151"/>
      <c r="AY69" s="151"/>
      <c r="AZ69" s="152"/>
      <c r="BA69" s="2"/>
      <c r="BB69" s="2"/>
      <c r="BC69" s="2"/>
      <c r="BD69" s="2"/>
      <c r="BE69" s="2"/>
      <c r="BF69" s="2"/>
      <c r="BG69" s="2"/>
      <c r="BH69" s="2"/>
      <c r="BI69" s="2"/>
      <c r="BJ69" s="2"/>
    </row>
    <row r="70" spans="22:62" x14ac:dyDescent="0.25">
      <c r="V70" s="130"/>
      <c r="W70" s="130"/>
      <c r="X70" s="130"/>
      <c r="Y70" s="130"/>
      <c r="Z70" s="130"/>
      <c r="AA70" s="130"/>
      <c r="AB70" s="130"/>
      <c r="AC70" s="130"/>
      <c r="AD70" s="130"/>
      <c r="AE70" s="130"/>
      <c r="AF70" s="130"/>
      <c r="AG70" s="130"/>
      <c r="AH70" s="130"/>
      <c r="AI70" s="145"/>
      <c r="AJ70" s="145"/>
      <c r="AK70" s="160">
        <v>5000</v>
      </c>
      <c r="AL70" s="145"/>
      <c r="AM70" s="145"/>
      <c r="AN70" s="145"/>
      <c r="AO70" s="160">
        <v>67</v>
      </c>
      <c r="AP70" s="145">
        <v>63</v>
      </c>
      <c r="AQ70" s="145" t="str">
        <f>IF(S23="CORTE ESPECIAL ",AR70,"")</f>
        <v/>
      </c>
      <c r="AR70" s="145">
        <v>18</v>
      </c>
      <c r="AS70" s="145">
        <v>190</v>
      </c>
      <c r="AT70" s="150"/>
      <c r="AU70" s="164" t="s">
        <v>235</v>
      </c>
      <c r="AV70" s="150"/>
      <c r="AW70" s="150"/>
      <c r="AX70" s="151"/>
      <c r="AY70" s="151"/>
      <c r="AZ70" s="152"/>
      <c r="BA70" s="2"/>
      <c r="BB70" s="2"/>
      <c r="BC70" s="2"/>
      <c r="BD70" s="2"/>
      <c r="BE70" s="2"/>
      <c r="BF70" s="2"/>
      <c r="BG70" s="2"/>
      <c r="BH70" s="2"/>
      <c r="BI70" s="2"/>
      <c r="BJ70" s="2"/>
    </row>
    <row r="71" spans="22:62" x14ac:dyDescent="0.25">
      <c r="V71" s="131"/>
      <c r="W71" s="131"/>
      <c r="X71" s="131"/>
      <c r="Y71" s="131"/>
      <c r="Z71" s="131"/>
      <c r="AA71" s="131"/>
      <c r="AB71" s="131"/>
      <c r="AC71" s="131"/>
      <c r="AD71" s="131"/>
      <c r="AE71" s="131"/>
      <c r="AF71" s="131"/>
      <c r="AG71" s="131"/>
      <c r="AH71" s="131"/>
      <c r="AI71" s="150"/>
      <c r="AJ71" s="150"/>
      <c r="AK71" s="160">
        <v>10000</v>
      </c>
      <c r="AL71" s="150"/>
      <c r="AM71" s="150"/>
      <c r="AN71" s="145"/>
      <c r="AO71" s="160">
        <v>100</v>
      </c>
      <c r="AP71" s="145">
        <v>94</v>
      </c>
      <c r="AQ71" s="145" t="str">
        <f>IF(S23="CORTE ESPECIAL ",AR71,"")</f>
        <v/>
      </c>
      <c r="AR71" s="145">
        <v>19</v>
      </c>
      <c r="AS71" s="145">
        <v>200</v>
      </c>
      <c r="AT71" s="150"/>
      <c r="AU71" s="164" t="s">
        <v>257</v>
      </c>
      <c r="AV71" s="150"/>
      <c r="AW71" s="150"/>
      <c r="AX71" s="151"/>
      <c r="AY71" s="151"/>
      <c r="AZ71" s="152"/>
      <c r="BA71" s="2"/>
      <c r="BB71" s="2"/>
      <c r="BC71" s="2"/>
      <c r="BD71" s="2"/>
      <c r="BE71" s="2"/>
      <c r="BF71" s="2"/>
      <c r="BG71" s="2"/>
      <c r="BH71" s="2"/>
      <c r="BI71" s="2"/>
      <c r="BJ71" s="2"/>
    </row>
    <row r="72" spans="22:62" x14ac:dyDescent="0.25">
      <c r="V72" s="131"/>
      <c r="W72" s="131"/>
      <c r="X72" s="131"/>
      <c r="Y72" s="131"/>
      <c r="Z72" s="131"/>
      <c r="AA72" s="131"/>
      <c r="AB72" s="131"/>
      <c r="AC72" s="131"/>
      <c r="AD72" s="131"/>
      <c r="AE72" s="131"/>
      <c r="AF72" s="131"/>
      <c r="AG72" s="131"/>
      <c r="AH72" s="131"/>
      <c r="AI72" s="150"/>
      <c r="AJ72" s="150"/>
      <c r="AK72" s="160">
        <v>15000</v>
      </c>
      <c r="AL72" s="150"/>
      <c r="AM72" s="150"/>
      <c r="AN72" s="145"/>
      <c r="AO72" s="145">
        <v>200</v>
      </c>
      <c r="AP72" s="145">
        <v>188</v>
      </c>
      <c r="AQ72" s="145" t="str">
        <f>IF(S23="CORTE ESPECIAL ",AR72,"")</f>
        <v/>
      </c>
      <c r="AR72" s="145">
        <v>20</v>
      </c>
      <c r="AS72" s="145">
        <v>210</v>
      </c>
      <c r="AT72" s="150"/>
      <c r="AU72" s="164" t="s">
        <v>236</v>
      </c>
      <c r="AV72" s="150"/>
      <c r="AW72" s="150"/>
      <c r="AX72" s="151"/>
      <c r="AY72" s="151"/>
      <c r="AZ72" s="152"/>
      <c r="BA72" s="2"/>
      <c r="BB72" s="2"/>
      <c r="BC72" s="2"/>
      <c r="BD72" s="2"/>
      <c r="BE72" s="2"/>
      <c r="BF72" s="2"/>
      <c r="BG72" s="2"/>
      <c r="BH72" s="2"/>
      <c r="BI72" s="2"/>
      <c r="BJ72" s="2"/>
    </row>
    <row r="73" spans="22:62" x14ac:dyDescent="0.25">
      <c r="V73" s="131"/>
      <c r="W73" s="131"/>
      <c r="X73" s="131"/>
      <c r="Y73" s="131"/>
      <c r="Z73" s="131"/>
      <c r="AA73" s="131"/>
      <c r="AB73" s="131"/>
      <c r="AC73" s="131"/>
      <c r="AD73" s="131"/>
      <c r="AE73" s="131"/>
      <c r="AF73" s="131"/>
      <c r="AG73" s="131"/>
      <c r="AH73" s="131"/>
      <c r="AI73" s="150"/>
      <c r="AJ73" s="150"/>
      <c r="AK73" s="160">
        <v>30000</v>
      </c>
      <c r="AL73" s="150"/>
      <c r="AM73" s="150"/>
      <c r="AN73" s="150"/>
      <c r="AO73" s="150"/>
      <c r="AP73" s="150"/>
      <c r="AQ73" s="145" t="str">
        <f>IF(S23="CORTE ESPECIAL ",AR73,"")</f>
        <v/>
      </c>
      <c r="AR73" s="145">
        <v>21</v>
      </c>
      <c r="AS73" s="145">
        <v>220</v>
      </c>
      <c r="AT73" s="150"/>
      <c r="AU73" s="164" t="s">
        <v>237</v>
      </c>
      <c r="AV73" s="150"/>
      <c r="AW73" s="150"/>
      <c r="AX73" s="151"/>
      <c r="AY73" s="151"/>
      <c r="AZ73" s="152"/>
      <c r="BA73" s="2"/>
      <c r="BB73" s="2"/>
      <c r="BC73" s="2"/>
      <c r="BD73" s="2"/>
      <c r="BE73" s="2"/>
      <c r="BF73" s="2"/>
      <c r="BG73" s="2"/>
      <c r="BH73" s="2"/>
      <c r="BI73" s="2"/>
      <c r="BJ73" s="2"/>
    </row>
    <row r="74" spans="22:62" x14ac:dyDescent="0.25">
      <c r="V74" s="131"/>
      <c r="W74" s="131"/>
      <c r="X74" s="131"/>
      <c r="Y74" s="131"/>
      <c r="Z74" s="131"/>
      <c r="AA74" s="131"/>
      <c r="AB74" s="131"/>
      <c r="AC74" s="131"/>
      <c r="AD74" s="131"/>
      <c r="AE74" s="131"/>
      <c r="AF74" s="131"/>
      <c r="AG74" s="131"/>
      <c r="AH74" s="131"/>
      <c r="AI74" s="150"/>
      <c r="AJ74" s="150"/>
      <c r="AK74" s="150"/>
      <c r="AL74" s="150"/>
      <c r="AM74" s="150"/>
      <c r="AN74" s="150"/>
      <c r="AO74" s="150"/>
      <c r="AP74" s="150"/>
      <c r="AQ74" s="145" t="str">
        <f>IF(S23="CORTE ESPECIAL ",AR74,"")</f>
        <v/>
      </c>
      <c r="AR74" s="145">
        <v>22</v>
      </c>
      <c r="AS74" s="145">
        <v>230</v>
      </c>
      <c r="AT74" s="150"/>
      <c r="AU74" s="164" t="s">
        <v>238</v>
      </c>
      <c r="AV74" s="150"/>
      <c r="AW74" s="150"/>
      <c r="AX74" s="151"/>
      <c r="AY74" s="151"/>
      <c r="AZ74" s="152"/>
      <c r="BA74" s="2"/>
      <c r="BB74" s="2"/>
      <c r="BC74" s="2"/>
      <c r="BD74" s="2"/>
      <c r="BE74" s="2"/>
      <c r="BF74" s="2"/>
      <c r="BG74" s="2"/>
      <c r="BH74" s="2"/>
      <c r="BI74" s="2"/>
      <c r="BJ74" s="2"/>
    </row>
    <row r="75" spans="22:62" x14ac:dyDescent="0.25">
      <c r="V75" s="131"/>
      <c r="W75" s="131"/>
      <c r="X75" s="131"/>
      <c r="Y75" s="131"/>
      <c r="Z75" s="131"/>
      <c r="AA75" s="131"/>
      <c r="AB75" s="131"/>
      <c r="AC75" s="131"/>
      <c r="AD75" s="131"/>
      <c r="AE75" s="131"/>
      <c r="AF75" s="131"/>
      <c r="AG75" s="131"/>
      <c r="AH75" s="131"/>
      <c r="AI75" s="150"/>
      <c r="AJ75" s="150"/>
      <c r="AK75" s="150"/>
      <c r="AL75" s="150"/>
      <c r="AM75" s="150"/>
      <c r="AN75" s="174" t="s">
        <v>183</v>
      </c>
      <c r="AO75" s="174"/>
      <c r="AP75" s="174"/>
      <c r="AQ75" s="145" t="str">
        <f>IF(S23="CORTE ESPECIAL ",AR75,"")</f>
        <v/>
      </c>
      <c r="AR75" s="145">
        <v>23</v>
      </c>
      <c r="AS75" s="145">
        <v>240</v>
      </c>
      <c r="AT75" s="150"/>
      <c r="AU75" s="164" t="s">
        <v>239</v>
      </c>
      <c r="AV75" s="150"/>
      <c r="AW75" s="150"/>
      <c r="AX75" s="151"/>
      <c r="AY75" s="151"/>
      <c r="AZ75" s="152"/>
      <c r="BA75" s="2"/>
      <c r="BB75" s="2"/>
      <c r="BC75" s="2"/>
      <c r="BD75" s="2"/>
      <c r="BE75" s="2"/>
      <c r="BF75" s="2"/>
      <c r="BG75" s="2"/>
      <c r="BH75" s="2"/>
      <c r="BI75" s="2"/>
      <c r="BJ75" s="2"/>
    </row>
    <row r="76" spans="22:62" x14ac:dyDescent="0.25">
      <c r="V76" s="131"/>
      <c r="W76" s="131"/>
      <c r="X76" s="131"/>
      <c r="Y76" s="131"/>
      <c r="Z76" s="131"/>
      <c r="AA76" s="131"/>
      <c r="AB76" s="131"/>
      <c r="AC76" s="131"/>
      <c r="AD76" s="131"/>
      <c r="AE76" s="131"/>
      <c r="AF76" s="131"/>
      <c r="AG76" s="131"/>
      <c r="AH76" s="131"/>
      <c r="AI76" s="150"/>
      <c r="AJ76" s="150"/>
      <c r="AK76" s="150"/>
      <c r="AL76" s="150"/>
      <c r="AM76" s="150"/>
      <c r="AN76" s="150"/>
      <c r="AO76" s="145" t="s">
        <v>184</v>
      </c>
      <c r="AP76" s="145"/>
      <c r="AQ76" s="145" t="str">
        <f>IF(S23="CORTE ESPECIAL ",AR76,"")</f>
        <v/>
      </c>
      <c r="AR76" s="145">
        <v>24</v>
      </c>
      <c r="AS76" s="145">
        <v>250</v>
      </c>
      <c r="AT76" s="150"/>
      <c r="AU76" s="164" t="s">
        <v>240</v>
      </c>
      <c r="AV76" s="150"/>
      <c r="AW76" s="150"/>
      <c r="AX76" s="151"/>
      <c r="AY76" s="151"/>
      <c r="AZ76" s="152"/>
      <c r="BA76" s="2"/>
      <c r="BB76" s="2"/>
      <c r="BC76" s="2"/>
      <c r="BD76" s="2"/>
      <c r="BE76" s="2"/>
      <c r="BF76" s="2"/>
      <c r="BG76" s="2"/>
      <c r="BH76" s="2"/>
      <c r="BI76" s="2"/>
      <c r="BJ76" s="2"/>
    </row>
    <row r="77" spans="22:62" x14ac:dyDescent="0.25">
      <c r="V77" s="131"/>
      <c r="W77" s="131"/>
      <c r="X77" s="131"/>
      <c r="Y77" s="131"/>
      <c r="Z77" s="131"/>
      <c r="AA77" s="131"/>
      <c r="AB77" s="131"/>
      <c r="AC77" s="131"/>
      <c r="AD77" s="131"/>
      <c r="AE77" s="131"/>
      <c r="AF77" s="131"/>
      <c r="AG77" s="131"/>
      <c r="AH77" s="131"/>
      <c r="AI77" s="150"/>
      <c r="AJ77" s="150"/>
      <c r="AK77" s="150"/>
      <c r="AL77" s="150"/>
      <c r="AM77" s="150"/>
      <c r="AN77" s="150"/>
      <c r="AO77" s="150" t="s">
        <v>194</v>
      </c>
      <c r="AP77" s="150"/>
      <c r="AQ77" s="145" t="str">
        <f>IF(S23="CORTE ESPECIAL ",AR77,"")</f>
        <v/>
      </c>
      <c r="AR77" s="145">
        <v>25</v>
      </c>
      <c r="AS77" s="145">
        <v>260</v>
      </c>
      <c r="AT77" s="150"/>
      <c r="AU77" s="164" t="s">
        <v>241</v>
      </c>
      <c r="AV77" s="150"/>
      <c r="AW77" s="150"/>
      <c r="AX77" s="151"/>
      <c r="AY77" s="151"/>
      <c r="AZ77" s="152"/>
      <c r="BA77" s="2"/>
      <c r="BB77" s="2"/>
      <c r="BC77" s="2"/>
      <c r="BD77" s="2"/>
      <c r="BE77" s="2"/>
      <c r="BF77" s="2"/>
      <c r="BG77" s="2"/>
      <c r="BH77" s="2"/>
      <c r="BI77" s="2"/>
      <c r="BJ77" s="2"/>
    </row>
    <row r="78" spans="22:62" x14ac:dyDescent="0.25">
      <c r="V78" s="131"/>
      <c r="W78" s="131"/>
      <c r="X78" s="131"/>
      <c r="Y78" s="131"/>
      <c r="Z78" s="131"/>
      <c r="AA78" s="131"/>
      <c r="AB78" s="131"/>
      <c r="AC78" s="131"/>
      <c r="AD78" s="131"/>
      <c r="AE78" s="131"/>
      <c r="AF78" s="131"/>
      <c r="AG78" s="131"/>
      <c r="AH78" s="131"/>
      <c r="AI78" s="150"/>
      <c r="AJ78" s="150"/>
      <c r="AK78" s="150"/>
      <c r="AL78" s="150"/>
      <c r="AM78" s="150"/>
      <c r="AN78" s="150"/>
      <c r="AO78" s="150" t="s">
        <v>195</v>
      </c>
      <c r="AP78" s="150"/>
      <c r="AQ78" s="145" t="str">
        <f>IF(S23="CORTE ESPECIAL ",AR78,"")</f>
        <v/>
      </c>
      <c r="AR78" s="145">
        <v>26</v>
      </c>
      <c r="AS78" s="145">
        <v>270</v>
      </c>
      <c r="AT78" s="150"/>
      <c r="AU78" s="164" t="s">
        <v>242</v>
      </c>
      <c r="AV78" s="150"/>
      <c r="AW78" s="150"/>
      <c r="AX78" s="151"/>
      <c r="AY78" s="151"/>
      <c r="AZ78" s="152"/>
      <c r="BA78" s="2"/>
      <c r="BB78" s="2"/>
      <c r="BC78" s="2"/>
      <c r="BD78" s="2"/>
      <c r="BE78" s="2"/>
      <c r="BF78" s="2"/>
      <c r="BG78" s="2"/>
      <c r="BH78" s="2"/>
      <c r="BI78" s="2"/>
      <c r="BJ78" s="2"/>
    </row>
    <row r="79" spans="22:62" x14ac:dyDescent="0.25">
      <c r="V79" s="131"/>
      <c r="W79" s="131"/>
      <c r="X79" s="131"/>
      <c r="Y79" s="131"/>
      <c r="Z79" s="131"/>
      <c r="AA79" s="131"/>
      <c r="AB79" s="131"/>
      <c r="AC79" s="131"/>
      <c r="AD79" s="131"/>
      <c r="AE79" s="131"/>
      <c r="AF79" s="131"/>
      <c r="AG79" s="131"/>
      <c r="AH79" s="131"/>
      <c r="AI79" s="150"/>
      <c r="AJ79" s="150"/>
      <c r="AK79" s="150"/>
      <c r="AL79" s="150"/>
      <c r="AM79" s="150"/>
      <c r="AN79" s="150"/>
      <c r="AO79" s="150" t="s">
        <v>196</v>
      </c>
      <c r="AP79" s="150"/>
      <c r="AQ79" s="145" t="str">
        <f>IF(S23="CORTE ESPECIAL ",AR79,"")</f>
        <v/>
      </c>
      <c r="AR79" s="145">
        <v>27</v>
      </c>
      <c r="AS79" s="145">
        <v>280</v>
      </c>
      <c r="AT79" s="150"/>
      <c r="AU79" s="164" t="s">
        <v>243</v>
      </c>
      <c r="AV79" s="150"/>
      <c r="AW79" s="150"/>
      <c r="AX79" s="151"/>
      <c r="AY79" s="151"/>
      <c r="AZ79" s="152"/>
      <c r="BA79" s="2"/>
      <c r="BB79" s="2"/>
      <c r="BC79" s="2"/>
      <c r="BD79" s="2"/>
      <c r="BE79" s="2"/>
      <c r="BF79" s="2"/>
      <c r="BG79" s="2"/>
      <c r="BH79" s="2"/>
      <c r="BI79" s="2"/>
      <c r="BJ79" s="2"/>
    </row>
    <row r="80" spans="22:62" x14ac:dyDescent="0.25">
      <c r="V80" s="131"/>
      <c r="W80" s="131"/>
      <c r="X80" s="131"/>
      <c r="Y80" s="131"/>
      <c r="Z80" s="131"/>
      <c r="AA80" s="131"/>
      <c r="AB80" s="131"/>
      <c r="AC80" s="131"/>
      <c r="AD80" s="131"/>
      <c r="AE80" s="131"/>
      <c r="AF80" s="131"/>
      <c r="AG80" s="131"/>
      <c r="AH80" s="131"/>
      <c r="AI80" s="150"/>
      <c r="AJ80" s="185" t="s">
        <v>193</v>
      </c>
      <c r="AK80" s="185"/>
      <c r="AL80" s="185"/>
      <c r="AM80" s="150"/>
      <c r="AN80" s="150"/>
      <c r="AO80" s="150"/>
      <c r="AP80" s="150"/>
      <c r="AQ80" s="145" t="str">
        <f>IF(S23="CORTE ESPECIAL ",AR80,"")</f>
        <v/>
      </c>
      <c r="AR80" s="145">
        <v>28</v>
      </c>
      <c r="AS80" s="145">
        <v>290</v>
      </c>
      <c r="AT80" s="150"/>
      <c r="AU80" s="164" t="s">
        <v>244</v>
      </c>
      <c r="AV80" s="150"/>
      <c r="AW80" s="150"/>
      <c r="AX80" s="151"/>
      <c r="AY80" s="151"/>
      <c r="AZ80" s="152"/>
      <c r="BA80" s="2"/>
      <c r="BB80" s="2"/>
      <c r="BC80" s="2"/>
      <c r="BD80" s="2"/>
      <c r="BE80" s="2"/>
      <c r="BF80" s="2"/>
      <c r="BG80" s="2"/>
      <c r="BH80" s="2"/>
      <c r="BI80" s="2"/>
      <c r="BJ80" s="2"/>
    </row>
    <row r="81" spans="22:62" x14ac:dyDescent="0.25">
      <c r="V81" s="131"/>
      <c r="W81" s="131"/>
      <c r="X81" s="131"/>
      <c r="Y81" s="131"/>
      <c r="Z81" s="131"/>
      <c r="AA81" s="131"/>
      <c r="AB81" s="131"/>
      <c r="AC81" s="131"/>
      <c r="AD81" s="131"/>
      <c r="AE81" s="131"/>
      <c r="AF81" s="131"/>
      <c r="AG81" s="131"/>
      <c r="AH81" s="131"/>
      <c r="AI81" s="150"/>
      <c r="AJ81" s="150"/>
      <c r="AK81" s="150" t="str">
        <f>CÁLCULO!D39</f>
        <v>GALAO</v>
      </c>
      <c r="AL81" s="150"/>
      <c r="AM81" s="150"/>
      <c r="AN81" s="150"/>
      <c r="AO81" s="150"/>
      <c r="AP81" s="150"/>
      <c r="AQ81" s="145" t="str">
        <f>IF(S23="CORTE ESPECIAL ",AR81,"")</f>
        <v/>
      </c>
      <c r="AR81" s="145">
        <v>29</v>
      </c>
      <c r="AS81" s="145">
        <v>300</v>
      </c>
      <c r="AT81" s="150"/>
      <c r="AU81" s="164" t="s">
        <v>245</v>
      </c>
      <c r="AV81" s="150"/>
      <c r="AW81" s="150"/>
      <c r="AX81" s="151"/>
      <c r="AY81" s="151"/>
      <c r="AZ81" s="152"/>
      <c r="BA81" s="2"/>
      <c r="BB81" s="2"/>
      <c r="BC81" s="2"/>
      <c r="BD81" s="2"/>
      <c r="BE81" s="2"/>
      <c r="BF81" s="2"/>
      <c r="BG81" s="2"/>
      <c r="BH81" s="2"/>
      <c r="BI81" s="2"/>
      <c r="BJ81" s="2"/>
    </row>
    <row r="82" spans="22:62" x14ac:dyDescent="0.25">
      <c r="V82" s="131"/>
      <c r="W82" s="131"/>
      <c r="X82" s="131"/>
      <c r="Y82" s="131"/>
      <c r="Z82" s="131"/>
      <c r="AA82" s="131"/>
      <c r="AB82" s="131"/>
      <c r="AC82" s="131"/>
      <c r="AD82" s="131"/>
      <c r="AE82" s="131"/>
      <c r="AF82" s="131"/>
      <c r="AG82" s="131"/>
      <c r="AH82" s="131"/>
      <c r="AI82" s="150"/>
      <c r="AJ82" s="150"/>
      <c r="AK82" s="150" t="str">
        <f>CÁLCULO!D40</f>
        <v>2DOBRAS</v>
      </c>
      <c r="AL82" s="150"/>
      <c r="AM82" s="150"/>
      <c r="AN82" s="150"/>
      <c r="AO82" s="150"/>
      <c r="AP82" s="150"/>
      <c r="AQ82" s="145" t="str">
        <f>IF(S23="CORTE ESPECIAL ",AR82,"")</f>
        <v/>
      </c>
      <c r="AR82" s="145">
        <v>30</v>
      </c>
      <c r="AS82" s="145">
        <v>310</v>
      </c>
      <c r="AT82" s="150"/>
      <c r="AU82" s="164" t="s">
        <v>246</v>
      </c>
      <c r="AV82" s="150"/>
      <c r="AW82" s="150"/>
      <c r="AX82" s="151"/>
      <c r="AY82" s="151"/>
      <c r="AZ82" s="152"/>
      <c r="BA82" s="2"/>
      <c r="BB82" s="2"/>
      <c r="BC82" s="2"/>
      <c r="BD82" s="2"/>
      <c r="BE82" s="2"/>
      <c r="BF82" s="2"/>
      <c r="BG82" s="2"/>
      <c r="BH82" s="2"/>
      <c r="BI82" s="2"/>
      <c r="BJ82" s="2"/>
    </row>
    <row r="83" spans="22:62" x14ac:dyDescent="0.25">
      <c r="V83" s="131"/>
      <c r="W83" s="131"/>
      <c r="X83" s="131"/>
      <c r="Y83" s="131"/>
      <c r="Z83" s="131"/>
      <c r="AA83" s="131"/>
      <c r="AB83" s="131"/>
      <c r="AC83" s="131"/>
      <c r="AD83" s="131"/>
      <c r="AE83" s="131"/>
      <c r="AF83" s="131"/>
      <c r="AG83" s="131"/>
      <c r="AH83" s="131"/>
      <c r="AI83" s="150"/>
      <c r="AJ83" s="150"/>
      <c r="AK83" s="150" t="str">
        <f>CÁLCULO!D41</f>
        <v>ENVELOPE</v>
      </c>
      <c r="AL83" s="150"/>
      <c r="AM83" s="150"/>
      <c r="AN83" s="150"/>
      <c r="AO83" s="150"/>
      <c r="AP83" s="150"/>
      <c r="AQ83" s="145" t="str">
        <f>IF(S23="CORTE ESPECIAL ",AR83,"")</f>
        <v/>
      </c>
      <c r="AR83" s="145">
        <v>31</v>
      </c>
      <c r="AS83" s="145">
        <v>320</v>
      </c>
      <c r="AT83" s="150"/>
      <c r="AU83" s="164" t="s">
        <v>247</v>
      </c>
      <c r="AV83" s="150"/>
      <c r="AW83" s="150"/>
      <c r="AX83" s="151"/>
      <c r="AY83" s="151"/>
      <c r="AZ83" s="152"/>
      <c r="BA83" s="2"/>
      <c r="BB83" s="2"/>
      <c r="BC83" s="2"/>
      <c r="BD83" s="2"/>
      <c r="BE83" s="2"/>
      <c r="BF83" s="2"/>
      <c r="BG83" s="2"/>
      <c r="BH83" s="2"/>
      <c r="BI83" s="2"/>
      <c r="BJ83" s="2"/>
    </row>
    <row r="84" spans="22:62" x14ac:dyDescent="0.25">
      <c r="V84" s="131"/>
      <c r="W84" s="131"/>
      <c r="X84" s="131"/>
      <c r="Y84" s="131"/>
      <c r="Z84" s="131"/>
      <c r="AA84" s="131"/>
      <c r="AB84" s="131"/>
      <c r="AC84" s="131"/>
      <c r="AD84" s="131"/>
      <c r="AE84" s="131"/>
      <c r="AF84" s="131"/>
      <c r="AG84" s="131"/>
      <c r="AH84" s="131"/>
      <c r="AI84" s="150"/>
      <c r="AJ84" s="150"/>
      <c r="AK84" s="150" t="str">
        <f>CÁLCULO!D42</f>
        <v xml:space="preserve">SAQUINHO </v>
      </c>
      <c r="AL84" s="150"/>
      <c r="AM84" s="150"/>
      <c r="AN84" s="150"/>
      <c r="AO84" s="150"/>
      <c r="AP84" s="150"/>
      <c r="AQ84" s="145" t="str">
        <f>IF(S23="CORTE ESPECIAL ",AR84,"")</f>
        <v/>
      </c>
      <c r="AR84" s="145">
        <v>32</v>
      </c>
      <c r="AS84" s="145">
        <v>330</v>
      </c>
      <c r="AT84" s="150"/>
      <c r="AU84" s="164" t="s">
        <v>248</v>
      </c>
      <c r="AV84" s="150"/>
      <c r="AW84" s="150"/>
      <c r="AX84" s="151"/>
      <c r="AY84" s="151"/>
      <c r="AZ84" s="152"/>
      <c r="BA84" s="2"/>
      <c r="BB84" s="2"/>
      <c r="BC84" s="2"/>
      <c r="BD84" s="2"/>
      <c r="BE84" s="2"/>
      <c r="BF84" s="2"/>
      <c r="BG84" s="2"/>
      <c r="BH84" s="2"/>
      <c r="BI84" s="2"/>
      <c r="BJ84" s="2"/>
    </row>
    <row r="85" spans="22:62" x14ac:dyDescent="0.25">
      <c r="V85" s="131"/>
      <c r="W85" s="131"/>
      <c r="X85" s="131"/>
      <c r="Y85" s="168"/>
      <c r="Z85" s="168"/>
      <c r="AA85" s="168"/>
      <c r="AB85" s="168"/>
      <c r="AC85" s="168"/>
      <c r="AD85" s="168"/>
      <c r="AE85" s="168"/>
      <c r="AF85" s="168"/>
      <c r="AG85" s="168"/>
      <c r="AH85" s="168"/>
      <c r="AI85" s="168"/>
      <c r="AJ85" s="168"/>
      <c r="AK85" s="150" t="str">
        <f>CÁLCULO!D43</f>
        <v xml:space="preserve">DOBRA MEIO </v>
      </c>
      <c r="AL85" s="150"/>
      <c r="AM85" s="150"/>
      <c r="AN85" s="150"/>
      <c r="AO85" s="150"/>
      <c r="AP85" s="150"/>
      <c r="AQ85" s="145" t="str">
        <f>IF(S23="CORTE ESPECIAL ",AR85,"")</f>
        <v/>
      </c>
      <c r="AR85" s="145">
        <v>33</v>
      </c>
      <c r="AS85" s="145">
        <v>340</v>
      </c>
      <c r="AT85" s="150"/>
      <c r="AU85" s="164" t="s">
        <v>249</v>
      </c>
      <c r="AV85" s="150"/>
      <c r="AW85" s="150"/>
      <c r="AX85" s="151"/>
      <c r="AY85" s="151"/>
      <c r="AZ85" s="152"/>
      <c r="BA85" s="2"/>
      <c r="BB85" s="2"/>
      <c r="BC85" s="2"/>
      <c r="BD85" s="2"/>
      <c r="BE85" s="2"/>
      <c r="BF85" s="2"/>
      <c r="BG85" s="2"/>
      <c r="BH85" s="2"/>
      <c r="BI85" s="2"/>
      <c r="BJ85" s="2"/>
    </row>
    <row r="86" spans="22:62" x14ac:dyDescent="0.25">
      <c r="V86" s="131"/>
      <c r="W86" s="131"/>
      <c r="X86" s="131"/>
      <c r="Y86" s="168"/>
      <c r="Z86" s="168"/>
      <c r="AA86" s="168"/>
      <c r="AB86" s="168"/>
      <c r="AC86" s="168"/>
      <c r="AD86" s="168" t="str">
        <f>IF(AD96="Sarja",sarja,IF(AD96="Tafetá",tafeta,IF(AD96="Canvas",canvas,IF(AD96="Cetim",cetim,IF(AD96="SuperSoft",SuperSoft,IF(AD96="Super batidas",super_batidas,IF(AD96="Alta Definição",alta_definicao,IF(AD96="Dupla densidade",dupla_densidade,""))))))))</f>
        <v/>
      </c>
      <c r="AE86" s="168"/>
      <c r="AF86" s="168"/>
      <c r="AG86" s="168"/>
      <c r="AH86" s="168"/>
      <c r="AI86" s="168"/>
      <c r="AJ86" s="168"/>
      <c r="AK86" s="150" t="str">
        <f>CÁLCULO!D44</f>
        <v>ETQ S/ CORTE</v>
      </c>
      <c r="AL86" s="150"/>
      <c r="AM86" s="150"/>
      <c r="AN86" s="150"/>
      <c r="AO86" s="150"/>
      <c r="AP86" s="150"/>
      <c r="AQ86" s="145" t="str">
        <f>IF(S23="CORTE ESPECIAL ",AR86,"")</f>
        <v/>
      </c>
      <c r="AR86" s="145">
        <v>34</v>
      </c>
      <c r="AS86" s="145">
        <v>350</v>
      </c>
      <c r="AT86" s="150"/>
      <c r="AU86" s="164" t="s">
        <v>250</v>
      </c>
      <c r="AV86" s="150"/>
      <c r="AW86" s="150"/>
      <c r="AX86" s="151"/>
      <c r="AY86" s="151"/>
      <c r="AZ86" s="152"/>
      <c r="BA86" s="2"/>
      <c r="BB86" s="2"/>
      <c r="BC86" s="2"/>
      <c r="BD86" s="2"/>
      <c r="BE86" s="2"/>
      <c r="BF86" s="2"/>
      <c r="BG86" s="2"/>
      <c r="BH86" s="2"/>
      <c r="BI86" s="2"/>
      <c r="BJ86" s="2"/>
    </row>
    <row r="87" spans="22:62" x14ac:dyDescent="0.25">
      <c r="V87" s="131"/>
      <c r="W87" s="131"/>
      <c r="X87" s="131" t="s">
        <v>366</v>
      </c>
      <c r="Y87" s="168"/>
      <c r="Z87" s="168"/>
      <c r="AA87" s="168"/>
      <c r="AB87" s="168"/>
      <c r="AC87" s="168"/>
      <c r="AD87" s="168"/>
      <c r="AE87" s="168"/>
      <c r="AF87" s="168"/>
      <c r="AG87" s="168"/>
      <c r="AH87" s="168"/>
      <c r="AI87" s="168"/>
      <c r="AJ87" s="168"/>
      <c r="AK87" s="150" t="str">
        <f>CÁLCULO!D45</f>
        <v xml:space="preserve">CORTE NORMAL </v>
      </c>
      <c r="AL87" s="150"/>
      <c r="AM87" s="150"/>
      <c r="AN87" s="150"/>
      <c r="AO87" s="150"/>
      <c r="AP87" s="150"/>
      <c r="AQ87" s="145" t="str">
        <f>IF(S23="CORTE ESPECIAL ",AR87,"")</f>
        <v/>
      </c>
      <c r="AR87" s="145">
        <v>35</v>
      </c>
      <c r="AS87" s="145">
        <v>360</v>
      </c>
      <c r="AT87" s="150"/>
      <c r="AU87" s="164" t="s">
        <v>251</v>
      </c>
      <c r="AV87" s="150"/>
      <c r="AW87" s="150"/>
      <c r="AX87" s="151"/>
      <c r="AY87" s="151"/>
      <c r="AZ87" s="152"/>
      <c r="BA87" s="2"/>
      <c r="BB87" s="2"/>
      <c r="BC87" s="2"/>
      <c r="BD87" s="2"/>
      <c r="BE87" s="2"/>
      <c r="BF87" s="2"/>
      <c r="BG87" s="2"/>
      <c r="BH87" s="2"/>
      <c r="BI87" s="2"/>
      <c r="BJ87" s="2"/>
    </row>
    <row r="88" spans="22:62" x14ac:dyDescent="0.25">
      <c r="V88" s="131"/>
      <c r="W88" s="131"/>
      <c r="X88" s="168" t="str">
        <f>IF(AD96="Sarja",sarja,IF(AD96="Tafetá",tafeta,IF(AD96="Canvas",canvas,IF(AD96="Cetim",cetim,IF(AD96="SuperSoft",SuperSoft,IF(AD96="Super batidas",super_batidas,IF(AD96="Alta Definição",alta_definicao,IF(AD96="Dupla densidade",dupla_densidade,""))))))))</f>
        <v/>
      </c>
      <c r="Y88" s="168"/>
      <c r="Z88" s="168"/>
      <c r="AA88" s="168"/>
      <c r="AB88" s="168"/>
      <c r="AC88" s="168"/>
      <c r="AD88" s="168"/>
      <c r="AE88" s="168"/>
      <c r="AF88" s="168"/>
      <c r="AG88" s="168"/>
      <c r="AH88" s="168"/>
      <c r="AI88" s="168"/>
      <c r="AJ88" s="168"/>
      <c r="AK88" s="150" t="str">
        <f>CÁLCULO!D46</f>
        <v xml:space="preserve">DOBRA CANTOS  </v>
      </c>
      <c r="AL88" s="150"/>
      <c r="AM88" s="150"/>
      <c r="AN88" s="150"/>
      <c r="AO88" s="150"/>
      <c r="AP88" s="150"/>
      <c r="AQ88" s="145" t="str">
        <f>IF(S23="CORTE ESPECIAL ",AR88,"")</f>
        <v/>
      </c>
      <c r="AR88" s="145">
        <v>36</v>
      </c>
      <c r="AS88" s="145">
        <v>370</v>
      </c>
      <c r="AT88" s="150"/>
      <c r="AU88" s="164" t="s">
        <v>252</v>
      </c>
      <c r="AV88" s="150"/>
      <c r="AW88" s="150"/>
      <c r="AX88" s="151"/>
      <c r="AY88" s="151"/>
      <c r="AZ88" s="152"/>
      <c r="BA88" s="2"/>
      <c r="BB88" s="2"/>
      <c r="BC88" s="2"/>
      <c r="BD88" s="2"/>
      <c r="BE88" s="2"/>
      <c r="BF88" s="2"/>
      <c r="BG88" s="2"/>
      <c r="BH88" s="2"/>
      <c r="BI88" s="2"/>
      <c r="BJ88" s="2"/>
    </row>
    <row r="89" spans="22:62" x14ac:dyDescent="0.25">
      <c r="V89" s="131"/>
      <c r="W89" s="131"/>
      <c r="X89" s="131"/>
      <c r="Y89" s="168"/>
      <c r="Z89" s="168"/>
      <c r="AA89" s="168"/>
      <c r="AB89" s="168"/>
      <c r="AC89" s="168"/>
      <c r="AD89" s="168"/>
      <c r="AE89" s="168"/>
      <c r="AF89" s="168"/>
      <c r="AG89" s="168"/>
      <c r="AH89" s="168"/>
      <c r="AI89" s="168"/>
      <c r="AJ89" s="168"/>
      <c r="AK89" s="150" t="str">
        <f>CÁLCULO!D47</f>
        <v xml:space="preserve">CORTE ESPECIAL </v>
      </c>
      <c r="AL89" s="150"/>
      <c r="AM89" s="150"/>
      <c r="AN89" s="150"/>
      <c r="AO89" s="150"/>
      <c r="AP89" s="150"/>
      <c r="AQ89" s="145" t="str">
        <f>IF(S23="CORTE ESPECIAL ",AR89,"")</f>
        <v/>
      </c>
      <c r="AR89" s="145">
        <v>37</v>
      </c>
      <c r="AS89" s="145">
        <v>380</v>
      </c>
      <c r="AT89" s="150"/>
      <c r="AU89" s="164" t="s">
        <v>253</v>
      </c>
      <c r="AV89" s="150"/>
      <c r="AW89" s="150"/>
      <c r="AX89" s="151"/>
      <c r="AY89" s="151"/>
      <c r="AZ89" s="152"/>
      <c r="BA89" s="2"/>
      <c r="BB89" s="2"/>
      <c r="BC89" s="2"/>
      <c r="BD89" s="2"/>
      <c r="BE89" s="2"/>
      <c r="BF89" s="2"/>
      <c r="BG89" s="2"/>
      <c r="BH89" s="2"/>
      <c r="BI89" s="2"/>
      <c r="BJ89" s="2"/>
    </row>
    <row r="90" spans="22:62" x14ac:dyDescent="0.25">
      <c r="V90" s="131"/>
      <c r="W90" s="131"/>
      <c r="X90" s="131"/>
      <c r="Y90" s="168"/>
      <c r="Z90" s="168"/>
      <c r="AA90" s="168"/>
      <c r="AB90" s="168"/>
      <c r="AC90" s="168"/>
      <c r="AD90" s="168"/>
      <c r="AE90" s="168"/>
      <c r="AF90" s="168"/>
      <c r="AG90" s="168"/>
      <c r="AH90" s="168"/>
      <c r="AI90" s="168"/>
      <c r="AJ90" s="168"/>
      <c r="AK90" s="150" t="str">
        <f>CÁLCULO!D48</f>
        <v>DOBRA MEIO CLIPS</v>
      </c>
      <c r="AL90" s="150"/>
      <c r="AM90" s="150"/>
      <c r="AN90" s="150"/>
      <c r="AO90" s="150"/>
      <c r="AP90" s="150"/>
      <c r="AQ90" s="145" t="str">
        <f>IF(S23="CORTE ESPECIAL ",AR90,"")</f>
        <v/>
      </c>
      <c r="AR90" s="145">
        <v>38</v>
      </c>
      <c r="AS90" s="145">
        <v>390</v>
      </c>
      <c r="AT90" s="150"/>
      <c r="AU90" s="164" t="s">
        <v>254</v>
      </c>
      <c r="AV90" s="150"/>
      <c r="AW90" s="150"/>
      <c r="AX90" s="151"/>
      <c r="AY90" s="151"/>
      <c r="AZ90" s="152"/>
      <c r="BA90" s="2"/>
      <c r="BB90" s="2"/>
      <c r="BC90" s="2"/>
      <c r="BD90" s="2"/>
      <c r="BE90" s="2"/>
      <c r="BF90" s="2"/>
      <c r="BG90" s="2"/>
      <c r="BH90" s="2"/>
      <c r="BI90" s="2"/>
      <c r="BJ90" s="2"/>
    </row>
    <row r="91" spans="22:62" x14ac:dyDescent="0.25">
      <c r="V91" s="131"/>
      <c r="W91" s="131"/>
      <c r="X91" s="131"/>
      <c r="Y91" s="168"/>
      <c r="Z91" s="168"/>
      <c r="AA91" s="168"/>
      <c r="AB91" s="168"/>
      <c r="AC91" s="168"/>
      <c r="AD91" s="168"/>
      <c r="AE91" s="168"/>
      <c r="AF91" s="168"/>
      <c r="AG91" s="168"/>
      <c r="AH91" s="168"/>
      <c r="AI91" s="168"/>
      <c r="AJ91" s="168"/>
      <c r="AK91" s="150" t="str">
        <f>CÁLCULO!D49</f>
        <v xml:space="preserve">MITRA            </v>
      </c>
      <c r="AL91" s="150"/>
      <c r="AM91" s="150"/>
      <c r="AN91" s="150"/>
      <c r="AO91" s="150"/>
      <c r="AP91" s="150"/>
      <c r="AQ91" s="145" t="str">
        <f>IF(S23="CORTE ESPECIAL ",AR91,"")</f>
        <v/>
      </c>
      <c r="AR91" s="145">
        <v>39</v>
      </c>
      <c r="AS91" s="145">
        <v>400</v>
      </c>
      <c r="AT91" s="150"/>
      <c r="AU91" s="164" t="s">
        <v>255</v>
      </c>
      <c r="AV91" s="150"/>
      <c r="AW91" s="150"/>
      <c r="AX91" s="151"/>
      <c r="AY91" s="151"/>
      <c r="AZ91" s="152"/>
      <c r="BA91" s="2"/>
      <c r="BB91" s="2"/>
      <c r="BC91" s="2"/>
      <c r="BD91" s="2"/>
      <c r="BE91" s="2"/>
      <c r="BF91" s="2"/>
      <c r="BG91" s="2"/>
      <c r="BH91" s="2"/>
      <c r="BI91" s="2"/>
      <c r="BJ91" s="2"/>
    </row>
    <row r="92" spans="22:62" x14ac:dyDescent="0.25">
      <c r="V92" s="131"/>
      <c r="W92" s="131"/>
      <c r="X92" s="131"/>
      <c r="Y92" s="168"/>
      <c r="Z92" s="168"/>
      <c r="AA92" s="168"/>
      <c r="AB92" s="168"/>
      <c r="AC92" s="168"/>
      <c r="AD92" s="168" t="e">
        <f>IF(AD95="Sarja",sarja,IF(AD95="Tafetá",tafeta,IF(AD95="Canvas",a_canvas,IF(AD95="Cetim",a_cetim,IF(AD95="SuperSoft",SuperSoft,IF(AD95="Super batidas",super_batidas,IF(AD95="Alta Definição",alta_definicao,IF(AD95="Dupla densidade",dupla_densidade,""))))))))</f>
        <v>#VALUE!</v>
      </c>
      <c r="AE92" s="168" t="e">
        <f>IF(nadson="saja",saja_tafeta,canvas)</f>
        <v>#VALUE!</v>
      </c>
      <c r="AF92" s="168"/>
      <c r="AG92" s="168"/>
      <c r="AH92" s="168"/>
      <c r="AI92" s="168"/>
      <c r="AJ92" s="168"/>
      <c r="AK92" s="150" t="str">
        <f>CÁLCULO!D50</f>
        <v xml:space="preserve">CANTOS DIAGONAL   </v>
      </c>
      <c r="AL92" s="150"/>
      <c r="AM92" s="150"/>
      <c r="AN92" s="150"/>
      <c r="AO92" s="150"/>
      <c r="AP92" s="150"/>
      <c r="AQ92" s="150"/>
      <c r="AR92" s="150"/>
      <c r="AS92" s="150"/>
      <c r="AT92" s="150"/>
      <c r="AU92" s="164" t="s">
        <v>256</v>
      </c>
      <c r="AV92" s="150"/>
      <c r="AW92" s="150"/>
      <c r="AX92" s="151"/>
      <c r="AY92" s="151"/>
      <c r="AZ92" s="152"/>
      <c r="BA92" s="2"/>
      <c r="BB92" s="2"/>
      <c r="BC92" s="2"/>
      <c r="BD92" s="2"/>
      <c r="BE92" s="2"/>
      <c r="BF92" s="2"/>
      <c r="BG92" s="2"/>
      <c r="BH92" s="2"/>
      <c r="BI92" s="2"/>
      <c r="BJ92" s="2"/>
    </row>
    <row r="93" spans="22:62" x14ac:dyDescent="0.25">
      <c r="V93" s="131"/>
      <c r="W93" s="131"/>
      <c r="X93" s="131"/>
      <c r="Y93" s="168"/>
      <c r="Z93" s="168"/>
      <c r="AA93" s="168"/>
      <c r="AB93" s="168"/>
      <c r="AC93" s="168"/>
      <c r="AD93" s="168"/>
      <c r="AE93" s="168"/>
      <c r="AF93" s="168"/>
      <c r="AG93" s="168"/>
      <c r="AH93" s="168"/>
      <c r="AI93" s="168"/>
      <c r="AJ93" s="168"/>
      <c r="AK93" s="150" t="str">
        <f>CÁLCULO!D51</f>
        <v xml:space="preserve">4CANTOS            </v>
      </c>
      <c r="AL93" s="150"/>
      <c r="AM93" s="150"/>
      <c r="AN93" s="150"/>
      <c r="AO93" s="150"/>
      <c r="AP93" s="150"/>
      <c r="AQ93" s="150"/>
      <c r="AR93" s="150"/>
      <c r="AS93" s="150"/>
      <c r="AT93" s="150"/>
      <c r="AU93" s="150" t="s">
        <v>292</v>
      </c>
      <c r="AV93" s="150"/>
      <c r="AW93" s="150"/>
      <c r="AX93" s="151"/>
      <c r="AY93" s="151"/>
      <c r="AZ93" s="152"/>
      <c r="BA93" s="2"/>
      <c r="BB93" s="2"/>
      <c r="BC93" s="2"/>
      <c r="BD93" s="2"/>
      <c r="BE93" s="2"/>
      <c r="BF93" s="2"/>
      <c r="BG93" s="2"/>
      <c r="BH93" s="2"/>
      <c r="BI93" s="2"/>
      <c r="BJ93" s="2"/>
    </row>
    <row r="94" spans="22:62" x14ac:dyDescent="0.25">
      <c r="V94" s="131"/>
      <c r="W94" s="131"/>
      <c r="X94" s="131"/>
      <c r="Y94" s="168"/>
      <c r="Z94" s="168"/>
      <c r="AA94" s="168"/>
      <c r="AB94" s="168"/>
      <c r="AC94" s="168"/>
      <c r="AD94" s="168"/>
      <c r="AE94" s="168"/>
      <c r="AF94" s="168"/>
      <c r="AG94" s="168"/>
      <c r="AH94" s="168"/>
      <c r="AI94" s="168"/>
      <c r="AJ94" s="168"/>
      <c r="AK94" s="150"/>
      <c r="AL94" s="150"/>
      <c r="AM94" s="150"/>
      <c r="AN94" s="150"/>
      <c r="AO94" s="150"/>
      <c r="AP94" s="150"/>
      <c r="AQ94" s="150"/>
      <c r="AR94" s="150"/>
      <c r="AS94" s="150"/>
      <c r="AT94" s="150"/>
      <c r="AU94" s="150" t="s">
        <v>293</v>
      </c>
      <c r="AV94" s="150"/>
      <c r="AW94" s="150"/>
      <c r="AX94" s="151"/>
      <c r="AY94" s="151"/>
      <c r="AZ94" s="152"/>
      <c r="BA94" s="2"/>
      <c r="BB94" s="2"/>
      <c r="BC94" s="2"/>
      <c r="BD94" s="2"/>
      <c r="BE94" s="2"/>
      <c r="BF94" s="2"/>
      <c r="BG94" s="2"/>
      <c r="BH94" s="2"/>
      <c r="BI94" s="2"/>
      <c r="BJ94" s="2"/>
    </row>
    <row r="95" spans="22:62" x14ac:dyDescent="0.25">
      <c r="V95" s="131"/>
      <c r="W95" s="131"/>
      <c r="X95" s="131"/>
      <c r="Y95" s="168"/>
      <c r="Z95" s="168"/>
      <c r="AA95" s="168"/>
      <c r="AB95" s="168"/>
      <c r="AC95" s="168"/>
      <c r="AD95" s="168" t="s">
        <v>144</v>
      </c>
      <c r="AE95" s="168"/>
      <c r="AF95" s="168"/>
      <c r="AG95" s="168"/>
      <c r="AH95" s="168"/>
      <c r="AI95" s="168"/>
      <c r="AJ95" s="168"/>
      <c r="AK95" s="185"/>
      <c r="AL95" s="185"/>
      <c r="AM95" s="185"/>
      <c r="AN95" s="150"/>
      <c r="AO95" s="150"/>
      <c r="AP95" s="150"/>
      <c r="AQ95" s="150"/>
      <c r="AR95" s="150"/>
      <c r="AS95" s="150"/>
      <c r="AT95" s="150"/>
      <c r="AU95" s="150" t="s">
        <v>294</v>
      </c>
      <c r="AV95" s="150"/>
      <c r="AW95" s="150"/>
      <c r="AX95" s="151"/>
      <c r="AY95" s="151"/>
      <c r="AZ95" s="152"/>
      <c r="BA95" s="2"/>
      <c r="BB95" s="2"/>
      <c r="BC95" s="2"/>
      <c r="BD95" s="2"/>
      <c r="BE95" s="2"/>
      <c r="BF95" s="2"/>
      <c r="BG95" s="2"/>
      <c r="BH95" s="2"/>
      <c r="BI95" s="2"/>
      <c r="BJ95" s="2"/>
    </row>
    <row r="96" spans="22:62" x14ac:dyDescent="0.25">
      <c r="V96" s="131"/>
      <c r="W96" s="131"/>
      <c r="X96" s="131"/>
      <c r="Y96" s="168"/>
      <c r="Z96" s="168"/>
      <c r="AA96" s="168"/>
      <c r="AB96" s="168"/>
      <c r="AC96" s="168" t="s">
        <v>354</v>
      </c>
      <c r="AD96" s="168"/>
      <c r="AE96" s="168"/>
      <c r="AF96" s="168"/>
      <c r="AG96" s="168"/>
      <c r="AH96" s="168"/>
      <c r="AI96" s="168"/>
      <c r="AJ96" s="168"/>
      <c r="AK96" s="150">
        <v>100</v>
      </c>
      <c r="AL96" s="150"/>
      <c r="AM96" s="150"/>
      <c r="AN96" s="150"/>
      <c r="AO96" s="150"/>
      <c r="AP96" s="150"/>
      <c r="AQ96" s="150"/>
      <c r="AR96" s="150"/>
      <c r="AS96" s="150"/>
      <c r="AT96" s="150"/>
      <c r="AU96" s="150" t="s">
        <v>295</v>
      </c>
      <c r="AV96" s="150"/>
      <c r="AW96" s="150"/>
      <c r="AX96" s="151"/>
      <c r="AY96" s="151"/>
      <c r="AZ96" s="152"/>
      <c r="BA96" s="2"/>
      <c r="BB96" s="2"/>
      <c r="BC96" s="2"/>
      <c r="BD96" s="2"/>
      <c r="BE96" s="2"/>
      <c r="BF96" s="2"/>
      <c r="BG96" s="2"/>
      <c r="BH96" s="2"/>
      <c r="BI96" s="2"/>
      <c r="BJ96" s="2"/>
    </row>
    <row r="97" spans="1:62" x14ac:dyDescent="0.25">
      <c r="V97" s="131"/>
      <c r="W97" s="131"/>
      <c r="X97" s="131"/>
      <c r="Y97" s="168"/>
      <c r="Z97" s="168"/>
      <c r="AA97" s="168"/>
      <c r="AB97" s="168"/>
      <c r="AC97" s="168"/>
      <c r="AD97" s="168"/>
      <c r="AE97" s="168"/>
      <c r="AF97" s="168"/>
      <c r="AG97" s="168"/>
      <c r="AH97" s="168"/>
      <c r="AI97" s="168"/>
      <c r="AJ97" s="168"/>
      <c r="AK97" s="150">
        <v>200</v>
      </c>
      <c r="AL97" s="150"/>
      <c r="AM97" s="150"/>
      <c r="AN97" s="150"/>
      <c r="AO97" s="150"/>
      <c r="AP97" s="150"/>
      <c r="AQ97" s="150"/>
      <c r="AR97" s="150"/>
      <c r="AS97" s="150"/>
      <c r="AT97" s="150"/>
      <c r="AU97" s="150" t="s">
        <v>296</v>
      </c>
      <c r="AV97" s="150"/>
      <c r="AW97" s="150"/>
      <c r="AX97" s="151"/>
      <c r="AY97" s="151"/>
      <c r="AZ97" s="152"/>
      <c r="BA97" s="2"/>
      <c r="BB97" s="2"/>
      <c r="BC97" s="2"/>
      <c r="BD97" s="2"/>
      <c r="BE97" s="2"/>
      <c r="BF97" s="2"/>
      <c r="BG97" s="2"/>
      <c r="BH97" s="2"/>
      <c r="BI97" s="2"/>
      <c r="BJ97" s="2"/>
    </row>
    <row r="98" spans="1:62" x14ac:dyDescent="0.25">
      <c r="V98" s="131"/>
      <c r="W98" s="131"/>
      <c r="X98" s="131"/>
      <c r="Y98" s="168"/>
      <c r="Z98" s="168"/>
      <c r="AA98" s="168"/>
      <c r="AB98" s="168"/>
      <c r="AC98" s="168"/>
      <c r="AD98" s="168"/>
      <c r="AE98" s="168"/>
      <c r="AF98" s="168"/>
      <c r="AG98" s="168"/>
      <c r="AH98" s="168"/>
      <c r="AI98" s="168"/>
      <c r="AJ98" s="168"/>
      <c r="AK98" s="150">
        <v>500</v>
      </c>
      <c r="AL98" s="150"/>
      <c r="AM98" s="150"/>
      <c r="AN98" s="150"/>
      <c r="AO98" s="150"/>
      <c r="AP98" s="150"/>
      <c r="AQ98" s="150"/>
      <c r="AR98" s="150"/>
      <c r="AS98" s="150"/>
      <c r="AT98" s="150"/>
      <c r="AU98" s="150" t="s">
        <v>297</v>
      </c>
      <c r="AV98" s="150"/>
      <c r="AW98" s="150"/>
      <c r="AX98" s="151"/>
      <c r="AY98" s="151"/>
      <c r="AZ98" s="152"/>
      <c r="BA98" s="2"/>
      <c r="BB98" s="2"/>
      <c r="BC98" s="2"/>
      <c r="BD98" s="2"/>
      <c r="BE98" s="2"/>
      <c r="BF98" s="2"/>
      <c r="BG98" s="2"/>
      <c r="BH98" s="2"/>
      <c r="BI98" s="2"/>
      <c r="BJ98" s="2"/>
    </row>
    <row r="99" spans="1:62" x14ac:dyDescent="0.25">
      <c r="V99" s="131"/>
      <c r="W99" s="131"/>
      <c r="X99" s="131"/>
      <c r="Y99" s="168"/>
      <c r="Z99" s="168"/>
      <c r="AA99" s="168"/>
      <c r="AB99" s="168"/>
      <c r="AC99" s="168"/>
      <c r="AD99" s="168"/>
      <c r="AE99" s="168"/>
      <c r="AF99" s="168"/>
      <c r="AG99" s="168"/>
      <c r="AH99" s="168"/>
      <c r="AI99" s="168"/>
      <c r="AJ99" s="168"/>
      <c r="AK99" s="185">
        <v>1000</v>
      </c>
      <c r="AL99" s="185"/>
      <c r="AM99" s="185"/>
      <c r="AN99" s="150"/>
      <c r="AO99" s="150"/>
      <c r="AP99" s="150"/>
      <c r="AQ99" s="150"/>
      <c r="AR99" s="150"/>
      <c r="AS99" s="150"/>
      <c r="AT99" s="150"/>
      <c r="AU99" s="150" t="s">
        <v>298</v>
      </c>
      <c r="AV99" s="150"/>
      <c r="AW99" s="150"/>
      <c r="AX99" s="151"/>
      <c r="AY99" s="151"/>
      <c r="AZ99" s="152"/>
      <c r="BA99" s="2"/>
      <c r="BB99" s="2"/>
      <c r="BC99" s="2"/>
      <c r="BD99" s="2"/>
      <c r="BE99" s="2"/>
      <c r="BF99" s="2"/>
      <c r="BG99" s="2"/>
      <c r="BH99" s="2"/>
      <c r="BI99" s="2"/>
      <c r="BJ99" s="2"/>
    </row>
    <row r="100" spans="1:62" x14ac:dyDescent="0.25">
      <c r="V100" s="131"/>
      <c r="W100" s="131"/>
      <c r="X100" s="131"/>
      <c r="Y100" s="168"/>
      <c r="Z100" s="168"/>
      <c r="AA100" s="168"/>
      <c r="AB100" s="168"/>
      <c r="AC100" s="168"/>
      <c r="AD100" s="168"/>
      <c r="AE100" s="168"/>
      <c r="AF100" s="168"/>
      <c r="AG100" s="168"/>
      <c r="AH100" s="168"/>
      <c r="AI100" s="168"/>
      <c r="AJ100" s="168"/>
      <c r="AK100" s="150" t="s">
        <v>331</v>
      </c>
      <c r="AL100" s="150"/>
      <c r="AM100" s="150"/>
      <c r="AN100" s="150"/>
      <c r="AO100" s="150"/>
      <c r="AP100" s="150"/>
      <c r="AQ100" s="150"/>
      <c r="AR100" s="150"/>
      <c r="AS100" s="150"/>
      <c r="AT100" s="150"/>
      <c r="AU100" s="150" t="s">
        <v>299</v>
      </c>
      <c r="AV100" s="150"/>
      <c r="AW100" s="150"/>
      <c r="AX100" s="151"/>
      <c r="AY100" s="151"/>
      <c r="AZ100" s="152"/>
      <c r="BA100" s="2"/>
      <c r="BB100" s="2"/>
      <c r="BC100" s="2"/>
      <c r="BD100" s="2"/>
      <c r="BE100" s="2"/>
      <c r="BF100" s="2"/>
      <c r="BG100" s="2"/>
      <c r="BH100" s="2"/>
      <c r="BI100" s="2"/>
      <c r="BJ100" s="2"/>
    </row>
    <row r="101" spans="1:62" x14ac:dyDescent="0.25">
      <c r="V101" s="131"/>
      <c r="W101" s="131"/>
      <c r="X101" s="131"/>
      <c r="Y101" s="168"/>
      <c r="Z101" s="168"/>
      <c r="AA101" s="168"/>
      <c r="AB101" s="168"/>
      <c r="AC101" s="168"/>
      <c r="AD101" s="168"/>
      <c r="AE101" s="168"/>
      <c r="AF101" s="168"/>
      <c r="AG101" s="168"/>
      <c r="AH101" s="168"/>
      <c r="AI101" s="168"/>
      <c r="AJ101" s="168"/>
      <c r="AK101" s="150" t="s">
        <v>212</v>
      </c>
      <c r="AL101" s="150"/>
      <c r="AM101" s="150"/>
      <c r="AN101" s="150"/>
      <c r="AO101" s="150"/>
      <c r="AP101" s="150"/>
      <c r="AQ101" s="150"/>
      <c r="AR101" s="150"/>
      <c r="AS101" s="150"/>
      <c r="AT101" s="150"/>
      <c r="AU101" s="150" t="s">
        <v>300</v>
      </c>
      <c r="AV101" s="150"/>
      <c r="AW101" s="150"/>
      <c r="AX101" s="151"/>
      <c r="AY101" s="151"/>
      <c r="AZ101" s="152"/>
      <c r="BA101" s="2"/>
      <c r="BB101" s="2"/>
      <c r="BC101" s="2"/>
      <c r="BD101" s="2"/>
      <c r="BE101" s="2"/>
      <c r="BF101" s="2"/>
      <c r="BG101" s="2"/>
      <c r="BH101" s="2"/>
      <c r="BI101" s="2"/>
      <c r="BJ101" s="2"/>
    </row>
    <row r="102" spans="1:62" x14ac:dyDescent="0.25">
      <c r="V102" s="131"/>
      <c r="W102" s="131"/>
      <c r="X102" s="131"/>
      <c r="Y102" s="168"/>
      <c r="Z102" s="168"/>
      <c r="AA102" s="168"/>
      <c r="AB102" s="168"/>
      <c r="AC102" s="168"/>
      <c r="AD102" s="168"/>
      <c r="AE102" s="168"/>
      <c r="AF102" s="168"/>
      <c r="AG102" s="168"/>
      <c r="AH102" s="168"/>
      <c r="AI102" s="168"/>
      <c r="AJ102" s="170">
        <f>VLOOKUP(LEN(J23),AJ103:AL118,3,FALSE)</f>
        <v>0.9</v>
      </c>
      <c r="AK102" s="185"/>
      <c r="AL102" s="185"/>
      <c r="AM102" s="165">
        <f t="array" ref="AM102">IF(J25="","1",VLOOKUP(LEN(J25),AM103:AO105,3,AM103:AM105))</f>
        <v>1</v>
      </c>
      <c r="AN102" s="150"/>
      <c r="AO102" s="150"/>
      <c r="AP102" s="150"/>
      <c r="AQ102" s="150"/>
      <c r="AR102" s="150"/>
      <c r="AS102" s="150"/>
      <c r="AT102" s="150"/>
      <c r="AU102" s="150" t="s">
        <v>301</v>
      </c>
      <c r="AV102" s="150"/>
      <c r="AW102" s="150"/>
      <c r="AX102" s="151"/>
      <c r="AY102" s="151"/>
      <c r="AZ102" s="152"/>
      <c r="BA102" s="2"/>
      <c r="BB102" s="2"/>
      <c r="BC102" s="2"/>
      <c r="BD102" s="2"/>
      <c r="BE102" s="2"/>
      <c r="BF102" s="2"/>
      <c r="BG102" s="2"/>
      <c r="BH102" s="2"/>
      <c r="BI102" s="2"/>
      <c r="BJ102" s="2"/>
    </row>
    <row r="103" spans="1:62" x14ac:dyDescent="0.25">
      <c r="V103" s="131"/>
      <c r="W103" s="131"/>
      <c r="X103" s="131"/>
      <c r="Y103" s="168"/>
      <c r="Z103" s="168"/>
      <c r="AA103" s="168"/>
      <c r="AB103" s="168" t="s">
        <v>355</v>
      </c>
      <c r="AC103" s="168" t="s">
        <v>346</v>
      </c>
      <c r="AD103" s="168" t="s">
        <v>348</v>
      </c>
      <c r="AE103" s="168" t="s">
        <v>337</v>
      </c>
      <c r="AF103" s="168" t="s">
        <v>357</v>
      </c>
      <c r="AG103" s="168"/>
      <c r="AH103" s="169"/>
      <c r="AI103" s="168"/>
      <c r="AJ103" s="171">
        <v>10</v>
      </c>
      <c r="AK103" s="150" t="str">
        <f>IF(NOT(OR(E23="tafetá",E23="sarja")=TRUE),"","20 batidas")</f>
        <v>20 batidas</v>
      </c>
      <c r="AL103" s="150">
        <v>0.75</v>
      </c>
      <c r="AM103" s="150">
        <f>LEN(AN103)</f>
        <v>10</v>
      </c>
      <c r="AN103" s="150" t="s">
        <v>213</v>
      </c>
      <c r="AO103" s="150">
        <v>0.75</v>
      </c>
      <c r="AP103" s="150"/>
      <c r="AQ103" s="150"/>
      <c r="AR103" s="150"/>
      <c r="AS103" s="150"/>
      <c r="AT103" s="150"/>
      <c r="AU103" s="150" t="s">
        <v>302</v>
      </c>
      <c r="AV103" s="150"/>
      <c r="AW103" s="150"/>
      <c r="AX103" s="151"/>
      <c r="AY103" s="151"/>
      <c r="AZ103" s="152"/>
      <c r="BA103" s="2"/>
      <c r="BB103" s="2"/>
      <c r="BC103" s="2"/>
      <c r="BD103" s="2"/>
      <c r="BE103" s="2"/>
      <c r="BF103" s="2"/>
      <c r="BG103" s="2"/>
      <c r="BH103" s="2"/>
      <c r="BI103" s="2"/>
      <c r="BJ103" s="2"/>
    </row>
    <row r="104" spans="1:62" x14ac:dyDescent="0.25">
      <c r="V104" s="131"/>
      <c r="W104" s="131"/>
      <c r="X104" s="131"/>
      <c r="Y104" s="168"/>
      <c r="Z104" s="168"/>
      <c r="AA104" s="168"/>
      <c r="AB104" s="168" t="s">
        <v>213</v>
      </c>
      <c r="AC104" s="168" t="s">
        <v>347</v>
      </c>
      <c r="AD104" s="168" t="s">
        <v>349</v>
      </c>
      <c r="AE104" s="169" t="s">
        <v>350</v>
      </c>
      <c r="AF104" s="168" t="s">
        <v>358</v>
      </c>
      <c r="AG104" s="168"/>
      <c r="AH104" s="168"/>
      <c r="AI104" s="168"/>
      <c r="AJ104" s="171">
        <v>11</v>
      </c>
      <c r="AK104" s="150" t="str">
        <f>IF(NOT(OR(E23="tafetá",E23="sarja")=TRUE),"","25 batidas ")</f>
        <v xml:space="preserve">25 batidas </v>
      </c>
      <c r="AL104" s="150">
        <v>0.9</v>
      </c>
      <c r="AM104" s="150">
        <f>LEN(AN104)</f>
        <v>11</v>
      </c>
      <c r="AN104" s="150" t="s">
        <v>214</v>
      </c>
      <c r="AO104" s="150">
        <v>0.9</v>
      </c>
      <c r="AP104" s="150"/>
      <c r="AQ104" s="150"/>
      <c r="AR104" s="150"/>
      <c r="AS104" s="150"/>
      <c r="AT104" s="150"/>
      <c r="AU104" s="150" t="s">
        <v>303</v>
      </c>
      <c r="AV104" s="150"/>
      <c r="AW104" s="150"/>
      <c r="AX104" s="151"/>
      <c r="AY104" s="151"/>
      <c r="AZ104" s="152"/>
      <c r="BA104" s="2"/>
      <c r="BB104" s="2"/>
      <c r="BC104" s="2"/>
      <c r="BD104" s="2"/>
      <c r="BE104" s="2"/>
      <c r="BF104" s="2"/>
      <c r="BG104" s="2"/>
      <c r="BH104" s="2"/>
      <c r="BI104" s="2"/>
      <c r="BJ104" s="2"/>
    </row>
    <row r="105" spans="1:62" x14ac:dyDescent="0.25">
      <c r="V105" s="131"/>
      <c r="W105" s="131"/>
      <c r="X105" s="131"/>
      <c r="Y105" s="168"/>
      <c r="Z105" s="168"/>
      <c r="AA105" s="168"/>
      <c r="AB105" s="168" t="s">
        <v>214</v>
      </c>
      <c r="AC105" s="168" t="s">
        <v>347</v>
      </c>
      <c r="AD105" s="168" t="s">
        <v>349</v>
      </c>
      <c r="AE105" s="169" t="s">
        <v>351</v>
      </c>
      <c r="AF105" s="168" t="s">
        <v>345</v>
      </c>
      <c r="AG105" s="168"/>
      <c r="AH105" s="168"/>
      <c r="AI105" s="168"/>
      <c r="AJ105" s="171">
        <v>12</v>
      </c>
      <c r="AK105" s="150" t="str">
        <f>IF(NOT(OR(E23="tafetá",E23="sarja")=TRUE),"","28 batidas  ")</f>
        <v xml:space="preserve">28 batidas  </v>
      </c>
      <c r="AL105" s="150">
        <v>1</v>
      </c>
      <c r="AM105" s="150">
        <f>LEN(AN105)</f>
        <v>12</v>
      </c>
      <c r="AN105" s="150" t="s">
        <v>215</v>
      </c>
      <c r="AO105" s="150">
        <v>1</v>
      </c>
      <c r="AP105" s="150"/>
      <c r="AQ105" s="150"/>
      <c r="AR105" s="150"/>
      <c r="AS105" s="150"/>
      <c r="AT105" s="150"/>
      <c r="AU105" s="150" t="s">
        <v>304</v>
      </c>
      <c r="AV105" s="150"/>
      <c r="AW105" s="150"/>
      <c r="AX105" s="151"/>
      <c r="AY105" s="151"/>
      <c r="AZ105" s="152"/>
      <c r="BA105" s="2"/>
      <c r="BB105" s="2"/>
      <c r="BC105" s="2"/>
      <c r="BD105" s="2"/>
      <c r="BE105" s="2"/>
      <c r="BF105" s="2"/>
      <c r="BG105" s="2"/>
      <c r="BH105" s="2"/>
      <c r="BI105" s="2"/>
      <c r="BJ105" s="2"/>
    </row>
    <row r="106" spans="1:62" x14ac:dyDescent="0.25">
      <c r="V106" s="131"/>
      <c r="W106" s="131"/>
      <c r="X106" s="131"/>
      <c r="Y106" s="168"/>
      <c r="Z106" s="168"/>
      <c r="AA106" s="168"/>
      <c r="AB106" s="168" t="s">
        <v>215</v>
      </c>
      <c r="AC106" s="168"/>
      <c r="AD106" s="168"/>
      <c r="AE106" s="169" t="s">
        <v>352</v>
      </c>
      <c r="AF106" s="168" t="s">
        <v>359</v>
      </c>
      <c r="AG106" s="168"/>
      <c r="AH106" s="168"/>
      <c r="AI106" s="168"/>
      <c r="AJ106" s="171">
        <v>13</v>
      </c>
      <c r="AK106" s="150" t="str">
        <f>IF(NOT(OR(E23="Canvas ")=TRUE),"","38 batidas   ")</f>
        <v/>
      </c>
      <c r="AL106" s="150">
        <v>0.92</v>
      </c>
      <c r="AM106" s="150"/>
      <c r="AN106" s="150"/>
      <c r="AO106" s="150"/>
      <c r="AP106" s="150"/>
      <c r="AQ106" s="150"/>
      <c r="AR106" s="150"/>
      <c r="AS106" s="150"/>
      <c r="AT106" s="150"/>
      <c r="AU106" s="150" t="s">
        <v>305</v>
      </c>
      <c r="AV106" s="150"/>
      <c r="AW106" s="150"/>
      <c r="AX106" s="151"/>
      <c r="AY106" s="151"/>
      <c r="AZ106" s="152"/>
      <c r="BA106" s="2"/>
      <c r="BB106" s="2"/>
      <c r="BC106" s="2"/>
      <c r="BD106" s="2"/>
      <c r="BE106" s="2"/>
      <c r="BF106" s="2"/>
      <c r="BG106" s="2"/>
      <c r="BH106" s="2"/>
      <c r="BI106" s="2"/>
      <c r="BJ106" s="2"/>
    </row>
    <row r="107" spans="1:62" x14ac:dyDescent="0.25">
      <c r="V107" s="131"/>
      <c r="W107" s="131"/>
      <c r="X107" s="131"/>
      <c r="Y107" s="168"/>
      <c r="Z107" s="168"/>
      <c r="AA107" s="168"/>
      <c r="AB107" s="168"/>
      <c r="AC107" s="168"/>
      <c r="AD107" s="168"/>
      <c r="AE107" s="169" t="s">
        <v>353</v>
      </c>
      <c r="AF107" s="168"/>
      <c r="AG107" s="168"/>
      <c r="AH107" s="168"/>
      <c r="AI107" s="168"/>
      <c r="AJ107" s="171">
        <v>14</v>
      </c>
      <c r="AK107" s="150" t="str">
        <f>IF(NOT(OR(E23="super batidas")=TRUE),"","30 batidas    ")</f>
        <v/>
      </c>
      <c r="AL107" s="150">
        <v>0.85560000000000003</v>
      </c>
      <c r="AM107" s="150"/>
      <c r="AN107" s="150"/>
      <c r="AO107" s="150"/>
      <c r="AP107" s="150"/>
      <c r="AQ107" s="150"/>
      <c r="AR107" s="150"/>
      <c r="AS107" s="150"/>
      <c r="AT107" s="150"/>
      <c r="AU107" s="150" t="s">
        <v>306</v>
      </c>
      <c r="AV107" s="150"/>
      <c r="AW107" s="150"/>
      <c r="AX107" s="151"/>
      <c r="AY107" s="151"/>
      <c r="AZ107" s="152"/>
      <c r="BA107" s="2"/>
      <c r="BB107" s="2"/>
      <c r="BC107" s="2"/>
      <c r="BD107" s="2"/>
      <c r="BE107" s="2"/>
      <c r="BF107" s="2"/>
      <c r="BG107" s="2"/>
      <c r="BH107" s="2"/>
      <c r="BI107" s="2"/>
      <c r="BJ107" s="2"/>
    </row>
    <row r="108" spans="1:62" x14ac:dyDescent="0.25">
      <c r="V108" s="131"/>
      <c r="W108" s="131"/>
      <c r="X108" s="131"/>
      <c r="Y108" s="168"/>
      <c r="Z108" s="168"/>
      <c r="AA108" s="168"/>
      <c r="AB108" s="168" t="s">
        <v>356</v>
      </c>
      <c r="AC108" s="168"/>
      <c r="AD108" s="168"/>
      <c r="AE108" s="168"/>
      <c r="AF108" s="168"/>
      <c r="AG108" s="168"/>
      <c r="AH108" s="168"/>
      <c r="AI108" s="168"/>
      <c r="AJ108" s="171">
        <v>15</v>
      </c>
      <c r="AK108" s="150" t="str">
        <f>IF(NOT(OR(E23="super batidas",E23="Dupla Densidade",E23="Cetim   ")=TRUE),"","35 batidas     ")</f>
        <v/>
      </c>
      <c r="AL108" s="150">
        <v>0.92</v>
      </c>
      <c r="AM108" s="150"/>
      <c r="AN108" s="150"/>
      <c r="AO108" s="150"/>
      <c r="AP108" s="150"/>
      <c r="AQ108" s="150"/>
      <c r="AR108" s="150"/>
      <c r="AS108" s="150"/>
      <c r="AT108" s="150"/>
      <c r="AU108" s="150" t="s">
        <v>307</v>
      </c>
      <c r="AV108" s="150"/>
      <c r="AW108" s="150"/>
      <c r="AX108" s="151"/>
      <c r="AY108" s="151"/>
      <c r="AZ108" s="152"/>
      <c r="BA108" s="2"/>
      <c r="BB108" s="2"/>
      <c r="BC108" s="2"/>
      <c r="BD108" s="2"/>
      <c r="BE108" s="2"/>
      <c r="BF108" s="2"/>
      <c r="BG108" s="2"/>
      <c r="BH108" s="2"/>
      <c r="BI108" s="2"/>
      <c r="BJ108" s="2"/>
    </row>
    <row r="109" spans="1:62" x14ac:dyDescent="0.25">
      <c r="V109" s="131"/>
      <c r="W109" s="131"/>
      <c r="X109" s="131"/>
      <c r="Y109" s="168"/>
      <c r="Z109" s="168"/>
      <c r="AA109" s="168"/>
      <c r="AB109" s="168" t="s">
        <v>213</v>
      </c>
      <c r="AC109" s="168"/>
      <c r="AD109" s="168"/>
      <c r="AE109" s="168"/>
      <c r="AF109" s="168"/>
      <c r="AG109" s="168"/>
      <c r="AH109" s="168"/>
      <c r="AI109" s="168"/>
      <c r="AJ109" s="171">
        <v>16</v>
      </c>
      <c r="AK109" s="150" t="str">
        <f>IF(NOT(OR(E23="super batidas",E23="Dupla Densidade")=TRUE),"","40 batidas      ")</f>
        <v/>
      </c>
      <c r="AL109" s="150">
        <v>1</v>
      </c>
      <c r="AM109" s="150"/>
      <c r="AN109" s="150"/>
      <c r="AO109" s="150"/>
      <c r="AP109" s="150"/>
      <c r="AQ109" s="150"/>
      <c r="AR109" s="150"/>
      <c r="AS109" s="150"/>
      <c r="AT109" s="150"/>
      <c r="AU109" s="150" t="s">
        <v>308</v>
      </c>
      <c r="AV109" s="150"/>
      <c r="AW109" s="150"/>
      <c r="AX109" s="151"/>
      <c r="AY109" s="151"/>
      <c r="AZ109" s="152"/>
      <c r="BA109" s="2"/>
      <c r="BB109" s="2"/>
      <c r="BC109" s="2"/>
      <c r="BD109" s="2"/>
      <c r="BE109" s="2"/>
      <c r="BF109" s="2"/>
      <c r="BG109" s="2"/>
      <c r="BH109" s="2"/>
      <c r="BI109" s="2"/>
      <c r="BJ109" s="2"/>
    </row>
    <row r="110" spans="1:62" x14ac:dyDescent="0.25">
      <c r="M110" s="131"/>
      <c r="N110" s="131"/>
      <c r="O110" s="131"/>
      <c r="V110" s="131"/>
      <c r="W110" s="131"/>
      <c r="X110" s="131"/>
      <c r="Y110" s="168"/>
      <c r="Z110" s="168"/>
      <c r="AA110" s="168"/>
      <c r="AB110" s="168" t="s">
        <v>214</v>
      </c>
      <c r="AC110" s="168"/>
      <c r="AD110" s="168"/>
      <c r="AE110" s="168"/>
      <c r="AF110" s="168"/>
      <c r="AG110" s="168"/>
      <c r="AH110" s="168"/>
      <c r="AI110" s="168"/>
      <c r="AJ110" s="171">
        <v>17</v>
      </c>
      <c r="AK110" s="150" t="str">
        <f>IF(NOT(OR(E23="alta definição",E23="Dupla densidade")=TRUE),"","48 batidas       ")</f>
        <v/>
      </c>
      <c r="AL110" s="150">
        <v>0.86</v>
      </c>
      <c r="AM110" s="150"/>
      <c r="AN110" s="150"/>
      <c r="AO110" s="150"/>
      <c r="AP110" s="150"/>
      <c r="AQ110" s="150"/>
      <c r="AR110" s="150"/>
      <c r="AS110" s="150"/>
      <c r="AT110" s="150"/>
      <c r="AU110" s="150" t="s">
        <v>309</v>
      </c>
      <c r="AV110" s="150"/>
      <c r="AW110" s="150"/>
      <c r="AX110" s="151"/>
      <c r="AY110" s="151"/>
      <c r="AZ110" s="152"/>
      <c r="BA110" s="2"/>
      <c r="BB110" s="2"/>
      <c r="BC110" s="2"/>
      <c r="BD110" s="2"/>
      <c r="BE110" s="2"/>
      <c r="BF110" s="2"/>
      <c r="BG110" s="2"/>
      <c r="BH110" s="2"/>
      <c r="BI110" s="2"/>
      <c r="BJ110" s="2"/>
    </row>
    <row r="111" spans="1:62" x14ac:dyDescent="0.25">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68"/>
      <c r="Z111" s="168"/>
      <c r="AA111" s="168"/>
      <c r="AB111" s="168" t="s">
        <v>215</v>
      </c>
      <c r="AC111" s="168"/>
      <c r="AD111" s="168"/>
      <c r="AE111" s="168"/>
      <c r="AF111" s="168"/>
      <c r="AG111" s="168"/>
      <c r="AH111" s="168"/>
      <c r="AI111" s="168"/>
      <c r="AJ111" s="171">
        <v>18</v>
      </c>
      <c r="AK111" s="150" t="str">
        <f>IF(NOT(OR(E23="alta definição",E23="Dupla densidade")=TRUE),"","50 batidas        ")</f>
        <v/>
      </c>
      <c r="AL111" s="150">
        <v>0.9</v>
      </c>
      <c r="AM111" s="150"/>
      <c r="AN111" s="150"/>
      <c r="AO111" s="150"/>
      <c r="AP111" s="150"/>
      <c r="AQ111" s="150"/>
      <c r="AR111" s="150"/>
      <c r="AS111" s="150"/>
      <c r="AT111" s="150"/>
      <c r="AU111" s="150" t="s">
        <v>310</v>
      </c>
      <c r="AV111" s="150"/>
      <c r="AW111" s="150"/>
      <c r="AX111" s="151"/>
      <c r="AY111" s="151"/>
      <c r="AZ111" s="152"/>
      <c r="BA111" s="2"/>
      <c r="BB111" s="2"/>
      <c r="BC111" s="2"/>
      <c r="BD111" s="2"/>
      <c r="BE111" s="2"/>
      <c r="BF111" s="2"/>
      <c r="BG111" s="2"/>
      <c r="BH111" s="2"/>
      <c r="BI111" s="2"/>
      <c r="BJ111" s="2"/>
    </row>
    <row r="112" spans="1:62" x14ac:dyDescent="0.25">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68"/>
      <c r="Z112" s="168"/>
      <c r="AA112" s="168"/>
      <c r="AB112" s="168"/>
      <c r="AC112" s="168"/>
      <c r="AD112" s="168"/>
      <c r="AE112" s="168"/>
      <c r="AF112" s="168"/>
      <c r="AG112" s="168"/>
      <c r="AH112" s="168"/>
      <c r="AI112" s="168"/>
      <c r="AJ112" s="171">
        <v>19</v>
      </c>
      <c r="AK112" s="150" t="str">
        <f>IF(NOT(OR(E23="alta definição",E23="Dupla densidade",E23="Semicetim")=TRUE),"","56 batidas         ")</f>
        <v/>
      </c>
      <c r="AL112" s="150">
        <v>1</v>
      </c>
      <c r="AM112" s="150"/>
      <c r="AN112" s="150"/>
      <c r="AO112" s="150"/>
      <c r="AP112" s="150"/>
      <c r="AQ112" s="150"/>
      <c r="AR112" s="150"/>
      <c r="AS112" s="150"/>
      <c r="AT112" s="150"/>
      <c r="AU112" s="150" t="s">
        <v>311</v>
      </c>
      <c r="AV112" s="150"/>
      <c r="AW112" s="150"/>
      <c r="AX112" s="151"/>
      <c r="AY112" s="151"/>
      <c r="AZ112" s="152"/>
      <c r="BA112" s="2"/>
      <c r="BB112" s="2"/>
      <c r="BC112" s="2"/>
      <c r="BD112" s="2"/>
      <c r="BE112" s="2"/>
      <c r="BF112" s="2"/>
      <c r="BG112" s="2"/>
      <c r="BH112" s="2"/>
      <c r="BI112" s="2"/>
      <c r="BJ112" s="2"/>
    </row>
    <row r="113" spans="1:62" x14ac:dyDescent="0.25">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68"/>
      <c r="Z113" s="168"/>
      <c r="AA113" s="168"/>
      <c r="AB113" s="168" t="s">
        <v>360</v>
      </c>
      <c r="AC113" s="168"/>
      <c r="AD113" s="168" t="s">
        <v>365</v>
      </c>
      <c r="AE113" s="168"/>
      <c r="AF113" s="168"/>
      <c r="AG113" s="168"/>
      <c r="AH113" s="168"/>
      <c r="AI113" s="168"/>
      <c r="AJ113" s="171">
        <v>20</v>
      </c>
      <c r="AK113" s="150" t="str">
        <f>IF(NOT(OR(E23="alta definição",E23="Dupla densidade")=TRUE),"","60 batidas          ")</f>
        <v/>
      </c>
      <c r="AL113" s="150">
        <v>1.08</v>
      </c>
      <c r="AM113" s="150"/>
      <c r="AN113" s="150"/>
      <c r="AO113" s="150"/>
      <c r="AP113" s="150"/>
      <c r="AQ113" s="150"/>
      <c r="AR113" s="150"/>
      <c r="AS113" s="150"/>
      <c r="AT113" s="150"/>
      <c r="AU113" s="150" t="s">
        <v>312</v>
      </c>
      <c r="AV113" s="150"/>
      <c r="AW113" s="150"/>
      <c r="AX113" s="151"/>
      <c r="AY113" s="151"/>
      <c r="AZ113" s="152"/>
      <c r="BA113" s="2"/>
      <c r="BB113" s="2"/>
      <c r="BC113" s="2"/>
      <c r="BD113" s="2"/>
      <c r="BE113" s="2"/>
      <c r="BF113" s="2"/>
      <c r="BG113" s="2"/>
      <c r="BH113" s="2"/>
      <c r="BI113" s="2"/>
      <c r="BJ113" s="2"/>
    </row>
    <row r="114" spans="1:62" x14ac:dyDescent="0.25">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68"/>
      <c r="Z114" s="168"/>
      <c r="AA114" s="168"/>
      <c r="AB114" s="168" t="s">
        <v>345</v>
      </c>
      <c r="AC114" s="168"/>
      <c r="AD114" s="168" t="s">
        <v>361</v>
      </c>
      <c r="AE114" s="168"/>
      <c r="AF114" s="168"/>
      <c r="AG114" s="168"/>
      <c r="AH114" s="168"/>
      <c r="AI114" s="168"/>
      <c r="AJ114" s="171">
        <v>21</v>
      </c>
      <c r="AK114" s="150" t="str">
        <f>IF(NOT(OR(E23="alta definição",E23="Dupla densidade")=TRUE),"","70 batidas           ")</f>
        <v/>
      </c>
      <c r="AL114" s="150">
        <v>1.25</v>
      </c>
      <c r="AM114" s="150"/>
      <c r="AN114" s="150"/>
      <c r="AO114" s="150"/>
      <c r="AP114" s="150"/>
      <c r="AQ114" s="150"/>
      <c r="AR114" s="150"/>
      <c r="AS114" s="150"/>
      <c r="AT114" s="150"/>
      <c r="AU114" s="150" t="s">
        <v>313</v>
      </c>
      <c r="AV114" s="150"/>
      <c r="AW114" s="150"/>
      <c r="AX114" s="151"/>
      <c r="AY114" s="151"/>
      <c r="AZ114" s="152"/>
      <c r="BA114" s="2"/>
      <c r="BB114" s="2"/>
      <c r="BC114" s="2"/>
      <c r="BD114" s="2"/>
      <c r="BE114" s="2"/>
      <c r="BF114" s="2"/>
      <c r="BG114" s="2"/>
      <c r="BH114" s="2"/>
      <c r="BI114" s="2"/>
      <c r="BJ114" s="2"/>
    </row>
    <row r="115" spans="1:62" x14ac:dyDescent="0.25">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68"/>
      <c r="Z115" s="168"/>
      <c r="AA115" s="168"/>
      <c r="AB115" s="168" t="s">
        <v>359</v>
      </c>
      <c r="AC115" s="168"/>
      <c r="AD115" s="168" t="s">
        <v>362</v>
      </c>
      <c r="AE115" s="168"/>
      <c r="AF115" s="168"/>
      <c r="AG115" s="168"/>
      <c r="AH115" s="168"/>
      <c r="AI115" s="168"/>
      <c r="AJ115" s="171">
        <v>22</v>
      </c>
      <c r="AK115" s="150" t="str">
        <f>IF(NOT(OR(tipo="SuperSoft",tipo="Dupla densidade")=TRUE),"","60S batidas           ")</f>
        <v/>
      </c>
      <c r="AL115" s="150">
        <v>1.08</v>
      </c>
      <c r="AM115" s="150"/>
      <c r="AN115" s="150"/>
      <c r="AO115" s="150"/>
      <c r="AP115" s="150"/>
      <c r="AQ115" s="150"/>
      <c r="AR115" s="150"/>
      <c r="AS115" s="150"/>
      <c r="AT115" s="150"/>
      <c r="AU115" s="150" t="s">
        <v>314</v>
      </c>
      <c r="AV115" s="150"/>
      <c r="AW115" s="150"/>
      <c r="AX115" s="151"/>
      <c r="AY115" s="151"/>
      <c r="AZ115" s="152"/>
      <c r="BA115" s="2"/>
      <c r="BB115" s="2"/>
      <c r="BC115" s="2"/>
      <c r="BD115" s="2"/>
      <c r="BE115" s="2"/>
      <c r="BF115" s="2"/>
      <c r="BG115" s="2"/>
      <c r="BH115" s="2"/>
      <c r="BI115" s="2"/>
      <c r="BJ115" s="2"/>
    </row>
    <row r="116" spans="1:62" x14ac:dyDescent="0.25">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68"/>
      <c r="Z116" s="168"/>
      <c r="AA116" s="168"/>
      <c r="AB116" s="168" t="s">
        <v>361</v>
      </c>
      <c r="AC116" s="168"/>
      <c r="AD116" s="168" t="s">
        <v>341</v>
      </c>
      <c r="AE116" s="168"/>
      <c r="AF116" s="168"/>
      <c r="AG116" s="168"/>
      <c r="AH116" s="168"/>
      <c r="AI116" s="168"/>
      <c r="AJ116" s="171">
        <v>23</v>
      </c>
      <c r="AK116" s="150" t="str">
        <f>IF(NOT(OR(tipo="SuperSoft",tipo="Dupla densidade")=TRUE),"","70S batidas            ")</f>
        <v/>
      </c>
      <c r="AL116" s="150">
        <v>1.1200000000000001</v>
      </c>
      <c r="AM116" s="150"/>
      <c r="AN116" s="150"/>
      <c r="AO116" s="150"/>
      <c r="AP116" s="150"/>
      <c r="AQ116" s="150"/>
      <c r="AR116" s="150"/>
      <c r="AS116" s="150"/>
      <c r="AT116" s="150"/>
      <c r="AU116" s="150" t="s">
        <v>315</v>
      </c>
      <c r="AV116" s="150"/>
      <c r="AW116" s="150"/>
      <c r="AX116" s="151"/>
      <c r="AY116" s="151"/>
      <c r="AZ116" s="152"/>
      <c r="BA116" s="2"/>
      <c r="BB116" s="2"/>
      <c r="BC116" s="2"/>
      <c r="BD116" s="2"/>
      <c r="BE116" s="2"/>
      <c r="BF116" s="2"/>
      <c r="BG116" s="2"/>
      <c r="BH116" s="2"/>
      <c r="BI116" s="2"/>
      <c r="BJ116" s="2"/>
    </row>
    <row r="117" spans="1:62" x14ac:dyDescent="0.25">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68"/>
      <c r="Z117" s="168"/>
      <c r="AA117" s="168"/>
      <c r="AB117" s="168" t="s">
        <v>362</v>
      </c>
      <c r="AC117" s="168"/>
      <c r="AD117" s="168" t="s">
        <v>363</v>
      </c>
      <c r="AE117" s="168"/>
      <c r="AF117" s="168"/>
      <c r="AG117" s="168"/>
      <c r="AH117" s="168"/>
      <c r="AI117" s="168"/>
      <c r="AJ117" s="171">
        <v>24</v>
      </c>
      <c r="AK117" s="150" t="str">
        <f>IF(NOT(OR(tipo="SuperSoft",tipo="Dupla densidade")=TRUE),"","80S batidas             ")</f>
        <v/>
      </c>
      <c r="AL117" s="150">
        <v>1.1599999999999999</v>
      </c>
      <c r="AM117" s="150"/>
      <c r="AN117" s="150"/>
      <c r="AO117" s="150"/>
      <c r="AP117" s="150"/>
      <c r="AQ117" s="150"/>
      <c r="AR117" s="150"/>
      <c r="AS117" s="150"/>
      <c r="AT117" s="150"/>
      <c r="AU117" s="150" t="s">
        <v>316</v>
      </c>
      <c r="AV117" s="150"/>
      <c r="AW117" s="150"/>
      <c r="AX117" s="151"/>
      <c r="AY117" s="151"/>
      <c r="AZ117" s="152"/>
      <c r="BA117" s="2"/>
      <c r="BB117" s="2"/>
      <c r="BC117" s="2"/>
      <c r="BD117" s="2"/>
      <c r="BE117" s="2"/>
      <c r="BF117" s="2"/>
      <c r="BG117" s="2"/>
      <c r="BH117" s="2"/>
      <c r="BI117" s="2"/>
      <c r="BJ117" s="2"/>
    </row>
    <row r="118" spans="1:62" x14ac:dyDescent="0.25">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68"/>
      <c r="Z118" s="168"/>
      <c r="AA118" s="168"/>
      <c r="AB118" s="168" t="s">
        <v>341</v>
      </c>
      <c r="AC118" s="168"/>
      <c r="AD118" s="168" t="s">
        <v>364</v>
      </c>
      <c r="AE118" s="168"/>
      <c r="AF118" s="168"/>
      <c r="AG118" s="168"/>
      <c r="AH118" s="168"/>
      <c r="AI118" s="168"/>
      <c r="AJ118" s="171">
        <v>25</v>
      </c>
      <c r="AK118" s="150" t="str">
        <f>IF(NOT(OR(tipo="SuperSoft",tipo="Dupla densidade")=TRUE),"","90S batidas              ")</f>
        <v/>
      </c>
      <c r="AL118" s="150">
        <v>1.18</v>
      </c>
      <c r="AM118" s="150"/>
      <c r="AN118" s="150"/>
      <c r="AO118" s="150"/>
      <c r="AP118" s="150"/>
      <c r="AQ118" s="150"/>
      <c r="AR118" s="150"/>
      <c r="AS118" s="150"/>
      <c r="AT118" s="150"/>
      <c r="AU118" s="150" t="s">
        <v>317</v>
      </c>
      <c r="AV118" s="150"/>
      <c r="AW118" s="150"/>
      <c r="AX118" s="151"/>
      <c r="AY118" s="151"/>
      <c r="AZ118" s="152"/>
      <c r="BA118" s="2"/>
      <c r="BB118" s="2"/>
      <c r="BC118" s="2"/>
      <c r="BD118" s="2"/>
      <c r="BE118" s="2"/>
      <c r="BF118" s="2"/>
      <c r="BG118" s="2"/>
      <c r="BH118" s="2"/>
      <c r="BI118" s="2"/>
      <c r="BJ118" s="2"/>
    </row>
    <row r="119" spans="1:62" x14ac:dyDescent="0.25">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68"/>
      <c r="Z119" s="168"/>
      <c r="AA119" s="168"/>
      <c r="AB119" s="168" t="s">
        <v>363</v>
      </c>
      <c r="AC119" s="168"/>
      <c r="AD119" s="168"/>
      <c r="AE119" s="168"/>
      <c r="AF119" s="168"/>
      <c r="AG119" s="168"/>
      <c r="AH119" s="168"/>
      <c r="AI119" s="168"/>
      <c r="AJ119" s="168"/>
      <c r="AK119" s="150"/>
      <c r="AL119" s="150"/>
      <c r="AM119" s="150"/>
      <c r="AN119" s="150"/>
      <c r="AO119" s="150"/>
      <c r="AP119" s="150"/>
      <c r="AQ119" s="150"/>
      <c r="AR119" s="150"/>
      <c r="AS119" s="150"/>
      <c r="AT119" s="150"/>
      <c r="AU119" s="150" t="s">
        <v>318</v>
      </c>
      <c r="AV119" s="150"/>
      <c r="AW119" s="150"/>
      <c r="AX119" s="151"/>
      <c r="AY119" s="151"/>
      <c r="AZ119" s="152"/>
      <c r="BA119" s="2"/>
      <c r="BB119" s="2"/>
      <c r="BC119" s="2"/>
      <c r="BD119" s="2"/>
      <c r="BE119" s="2"/>
      <c r="BF119" s="2"/>
      <c r="BG119" s="2"/>
      <c r="BH119" s="2"/>
      <c r="BI119" s="2"/>
      <c r="BJ119" s="2"/>
    </row>
    <row r="120" spans="1:62" x14ac:dyDescent="0.25">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68"/>
      <c r="Z120" s="168"/>
      <c r="AA120" s="168"/>
      <c r="AB120" s="168" t="s">
        <v>364</v>
      </c>
      <c r="AC120" s="168"/>
      <c r="AD120" s="168"/>
      <c r="AE120" s="168"/>
      <c r="AF120" s="168"/>
      <c r="AG120" s="168"/>
      <c r="AH120" s="168"/>
      <c r="AI120" s="168"/>
      <c r="AJ120" s="168"/>
      <c r="AK120" s="150"/>
      <c r="AL120" s="150"/>
      <c r="AM120" s="150"/>
      <c r="AN120" s="150"/>
      <c r="AO120" s="150"/>
      <c r="AP120" s="150"/>
      <c r="AQ120" s="150"/>
      <c r="AR120" s="150"/>
      <c r="AS120" s="150"/>
      <c r="AT120" s="150"/>
      <c r="AU120" s="150" t="s">
        <v>319</v>
      </c>
      <c r="AV120" s="150"/>
      <c r="AW120" s="150"/>
      <c r="AX120" s="151"/>
      <c r="AY120" s="151"/>
      <c r="AZ120" s="152"/>
      <c r="BA120" s="2"/>
      <c r="BB120" s="2"/>
      <c r="BC120" s="2"/>
      <c r="BD120" s="2"/>
      <c r="BE120" s="2"/>
      <c r="BF120" s="2"/>
      <c r="BG120" s="2"/>
      <c r="BH120" s="2"/>
      <c r="BI120" s="2"/>
      <c r="BJ120" s="2"/>
    </row>
    <row r="121" spans="1:62" x14ac:dyDescent="0.25">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68"/>
      <c r="Z121" s="168"/>
      <c r="AA121" s="168"/>
      <c r="AB121" s="168" t="s">
        <v>350</v>
      </c>
      <c r="AC121" s="168"/>
      <c r="AD121" s="168"/>
      <c r="AE121" s="168"/>
      <c r="AF121" s="168"/>
      <c r="AG121" s="168"/>
      <c r="AH121" s="168"/>
      <c r="AI121" s="168"/>
      <c r="AJ121" s="168"/>
      <c r="AK121" s="150"/>
      <c r="AL121" s="150"/>
      <c r="AM121" s="150"/>
      <c r="AN121" s="150"/>
      <c r="AO121" s="150"/>
      <c r="AP121" s="150"/>
      <c r="AQ121" s="150"/>
      <c r="AR121" s="150"/>
      <c r="AS121" s="150"/>
      <c r="AT121" s="150"/>
      <c r="AU121" s="150" t="s">
        <v>320</v>
      </c>
      <c r="AV121" s="150"/>
      <c r="AW121" s="150"/>
      <c r="AX121" s="151"/>
      <c r="AY121" s="151"/>
      <c r="AZ121" s="152"/>
      <c r="BA121" s="2"/>
      <c r="BB121" s="2"/>
      <c r="BC121" s="2"/>
      <c r="BD121" s="2"/>
      <c r="BE121" s="2"/>
      <c r="BF121" s="2"/>
      <c r="BG121" s="2"/>
      <c r="BH121" s="2"/>
      <c r="BI121" s="2"/>
      <c r="BJ121" s="2"/>
    </row>
    <row r="122" spans="1:62" x14ac:dyDescent="0.25">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68"/>
      <c r="Z122" s="168"/>
      <c r="AA122" s="168"/>
      <c r="AB122" s="168" t="s">
        <v>351</v>
      </c>
      <c r="AC122" s="168"/>
      <c r="AD122" s="168"/>
      <c r="AE122" s="168"/>
      <c r="AF122" s="168"/>
      <c r="AG122" s="168"/>
      <c r="AH122" s="168"/>
      <c r="AI122" s="168"/>
      <c r="AJ122" s="168"/>
      <c r="AK122" s="150"/>
      <c r="AL122" s="150"/>
      <c r="AM122" s="150"/>
      <c r="AN122" s="150"/>
      <c r="AO122" s="150"/>
      <c r="AP122" s="150"/>
      <c r="AQ122" s="150"/>
      <c r="AR122" s="150"/>
      <c r="AS122" s="150"/>
      <c r="AT122" s="150"/>
      <c r="AU122" s="150" t="s">
        <v>321</v>
      </c>
      <c r="AV122" s="150"/>
      <c r="AW122" s="150"/>
      <c r="AX122" s="151"/>
      <c r="AY122" s="151"/>
      <c r="AZ122" s="152"/>
      <c r="BA122" s="2"/>
      <c r="BB122" s="2"/>
      <c r="BC122" s="2"/>
      <c r="BD122" s="2"/>
      <c r="BE122" s="2"/>
      <c r="BF122" s="2"/>
      <c r="BG122" s="2"/>
      <c r="BH122" s="2"/>
      <c r="BI122" s="2"/>
      <c r="BJ122" s="2"/>
    </row>
    <row r="123" spans="1:62" x14ac:dyDescent="0.25">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68"/>
      <c r="Z123" s="168"/>
      <c r="AA123" s="168"/>
      <c r="AB123" s="168" t="s">
        <v>352</v>
      </c>
      <c r="AC123" s="168"/>
      <c r="AD123" s="168"/>
      <c r="AE123" s="168"/>
      <c r="AF123" s="168"/>
      <c r="AG123" s="168"/>
      <c r="AH123" s="168"/>
      <c r="AI123" s="168"/>
      <c r="AJ123" s="168"/>
      <c r="AK123" s="150"/>
      <c r="AL123" s="150"/>
      <c r="AM123" s="150"/>
      <c r="AN123" s="150"/>
      <c r="AO123" s="150"/>
      <c r="AP123" s="150"/>
      <c r="AQ123" s="150"/>
      <c r="AR123" s="150"/>
      <c r="AS123" s="150"/>
      <c r="AT123" s="150"/>
      <c r="AU123" s="150" t="s">
        <v>322</v>
      </c>
      <c r="AV123" s="150"/>
      <c r="AW123" s="150"/>
      <c r="AX123" s="151"/>
      <c r="AY123" s="151"/>
      <c r="AZ123" s="152"/>
      <c r="BA123" s="2"/>
      <c r="BB123" s="2"/>
      <c r="BC123" s="2"/>
      <c r="BD123" s="2"/>
      <c r="BE123" s="2"/>
      <c r="BF123" s="2"/>
      <c r="BG123" s="2"/>
      <c r="BH123" s="2"/>
      <c r="BI123" s="2"/>
      <c r="BJ123" s="2"/>
    </row>
    <row r="124" spans="1:62" x14ac:dyDescent="0.25">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68"/>
      <c r="Z124" s="168"/>
      <c r="AA124" s="168"/>
      <c r="AB124" s="168" t="s">
        <v>353</v>
      </c>
      <c r="AC124" s="168"/>
      <c r="AD124" s="168"/>
      <c r="AE124" s="168"/>
      <c r="AF124" s="168"/>
      <c r="AG124" s="168"/>
      <c r="AH124" s="168"/>
      <c r="AI124" s="168"/>
      <c r="AJ124" s="168"/>
      <c r="AK124" s="150"/>
      <c r="AL124" s="150"/>
      <c r="AM124" s="150"/>
      <c r="AN124" s="150"/>
      <c r="AO124" s="150"/>
      <c r="AP124" s="150"/>
      <c r="AQ124" s="150"/>
      <c r="AR124" s="150"/>
      <c r="AS124" s="150"/>
      <c r="AT124" s="150"/>
      <c r="AU124" s="150" t="s">
        <v>323</v>
      </c>
      <c r="AV124" s="150"/>
      <c r="AW124" s="150"/>
      <c r="AX124" s="151"/>
      <c r="AY124" s="151"/>
      <c r="AZ124" s="152"/>
      <c r="BA124" s="2"/>
      <c r="BB124" s="2"/>
      <c r="BC124" s="2"/>
      <c r="BD124" s="2"/>
      <c r="BE124" s="2"/>
      <c r="BF124" s="2"/>
      <c r="BG124" s="2"/>
      <c r="BH124" s="2"/>
      <c r="BI124" s="2"/>
      <c r="BJ124" s="2"/>
    </row>
    <row r="125" spans="1:62" x14ac:dyDescent="0.25">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68"/>
      <c r="Z125" s="168"/>
      <c r="AA125" s="168"/>
      <c r="AB125" s="168"/>
      <c r="AC125" s="168"/>
      <c r="AD125" s="168"/>
      <c r="AE125" s="168"/>
      <c r="AF125" s="168"/>
      <c r="AG125" s="168"/>
      <c r="AH125" s="168"/>
      <c r="AI125" s="168"/>
      <c r="AJ125" s="168"/>
      <c r="AK125" s="150"/>
      <c r="AL125" s="150"/>
      <c r="AM125" s="150"/>
      <c r="AN125" s="150"/>
      <c r="AO125" s="150"/>
      <c r="AP125" s="150"/>
      <c r="AQ125" s="150"/>
      <c r="AR125" s="150"/>
      <c r="AS125" s="150"/>
      <c r="AT125" s="150"/>
      <c r="AU125" s="150" t="s">
        <v>324</v>
      </c>
      <c r="AV125" s="150"/>
      <c r="AW125" s="150"/>
      <c r="AX125" s="151"/>
      <c r="AY125" s="151"/>
      <c r="AZ125" s="152"/>
      <c r="BA125" s="2"/>
      <c r="BB125" s="2"/>
      <c r="BC125" s="2"/>
      <c r="BD125" s="2"/>
      <c r="BE125" s="2"/>
      <c r="BF125" s="2"/>
      <c r="BG125" s="2"/>
      <c r="BH125" s="2"/>
      <c r="BI125" s="2"/>
      <c r="BJ125" s="2"/>
    </row>
    <row r="126" spans="1:62" x14ac:dyDescent="0.25">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68"/>
      <c r="Z126" s="168"/>
      <c r="AA126" s="168"/>
      <c r="AB126" s="168"/>
      <c r="AC126" s="168"/>
      <c r="AD126" s="168"/>
      <c r="AE126" s="168"/>
      <c r="AF126" s="168"/>
      <c r="AG126" s="168"/>
      <c r="AH126" s="168"/>
      <c r="AI126" s="168"/>
      <c r="AJ126" s="168"/>
      <c r="AK126" s="150"/>
      <c r="AL126" s="150"/>
      <c r="AM126" s="150"/>
      <c r="AN126" s="150"/>
      <c r="AO126" s="150"/>
      <c r="AP126" s="150"/>
      <c r="AQ126" s="150"/>
      <c r="AR126" s="150"/>
      <c r="AS126" s="150"/>
      <c r="AT126" s="150"/>
      <c r="AU126" s="150" t="s">
        <v>325</v>
      </c>
      <c r="AV126" s="150"/>
      <c r="AW126" s="150"/>
      <c r="AX126" s="151"/>
      <c r="AY126" s="151"/>
      <c r="AZ126" s="152"/>
      <c r="BA126" s="2"/>
      <c r="BB126" s="2"/>
      <c r="BC126" s="2"/>
      <c r="BD126" s="2"/>
      <c r="BE126" s="2"/>
      <c r="BF126" s="2"/>
      <c r="BG126" s="2"/>
      <c r="BH126" s="2"/>
      <c r="BI126" s="2"/>
      <c r="BJ126" s="2"/>
    </row>
    <row r="127" spans="1:62" x14ac:dyDescent="0.25">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68"/>
      <c r="Z127" s="168"/>
      <c r="AA127" s="168"/>
      <c r="AB127" s="168"/>
      <c r="AC127" s="168"/>
      <c r="AD127" s="168"/>
      <c r="AE127" s="168"/>
      <c r="AF127" s="168"/>
      <c r="AG127" s="168"/>
      <c r="AH127" s="168"/>
      <c r="AI127" s="168"/>
      <c r="AJ127" s="168"/>
      <c r="AK127" s="150"/>
      <c r="AL127" s="150"/>
      <c r="AM127" s="150"/>
      <c r="AN127" s="150"/>
      <c r="AO127" s="150"/>
      <c r="AP127" s="150"/>
      <c r="AQ127" s="150"/>
      <c r="AR127" s="150"/>
      <c r="AS127" s="150"/>
      <c r="AT127" s="150"/>
      <c r="AU127" s="150" t="s">
        <v>326</v>
      </c>
      <c r="AV127" s="150"/>
      <c r="AW127" s="150"/>
      <c r="AX127" s="151"/>
      <c r="AY127" s="151"/>
      <c r="AZ127" s="152"/>
      <c r="BA127" s="2"/>
      <c r="BB127" s="2"/>
      <c r="BC127" s="2"/>
      <c r="BD127" s="2"/>
      <c r="BE127" s="2"/>
      <c r="BF127" s="2"/>
      <c r="BG127" s="2"/>
      <c r="BH127" s="2"/>
      <c r="BI127" s="2"/>
      <c r="BJ127" s="2"/>
    </row>
    <row r="128" spans="1:62" x14ac:dyDescent="0.25">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68"/>
      <c r="Z128" s="168"/>
      <c r="AA128" s="168"/>
      <c r="AB128" s="168"/>
      <c r="AC128" s="168"/>
      <c r="AD128" s="168"/>
      <c r="AE128" s="168"/>
      <c r="AF128" s="168"/>
      <c r="AG128" s="168"/>
      <c r="AH128" s="168"/>
      <c r="AI128" s="168"/>
      <c r="AJ128" s="168"/>
      <c r="AK128" s="150"/>
      <c r="AL128" s="150"/>
      <c r="AM128" s="150"/>
      <c r="AN128" s="150"/>
      <c r="AO128" s="150"/>
      <c r="AP128" s="150"/>
      <c r="AQ128" s="150"/>
      <c r="AR128" s="150"/>
      <c r="AS128" s="150"/>
      <c r="AT128" s="150"/>
      <c r="AU128" s="150" t="s">
        <v>327</v>
      </c>
      <c r="AV128" s="150"/>
      <c r="AW128" s="150"/>
      <c r="AX128" s="151"/>
      <c r="AY128" s="151"/>
      <c r="AZ128" s="152"/>
      <c r="BA128" s="2"/>
      <c r="BB128" s="2"/>
      <c r="BC128" s="2"/>
      <c r="BD128" s="2"/>
      <c r="BE128" s="2"/>
      <c r="BF128" s="2"/>
      <c r="BG128" s="2"/>
      <c r="BH128" s="2"/>
      <c r="BI128" s="2"/>
      <c r="BJ128" s="2"/>
    </row>
    <row r="129" spans="1:62" x14ac:dyDescent="0.25">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68"/>
      <c r="Z129" s="168"/>
      <c r="AA129" s="168"/>
      <c r="AB129" s="168"/>
      <c r="AC129" s="168"/>
      <c r="AD129" s="168"/>
      <c r="AE129" s="168"/>
      <c r="AF129" s="168"/>
      <c r="AG129" s="168"/>
      <c r="AH129" s="168"/>
      <c r="AI129" s="168"/>
      <c r="AJ129" s="168"/>
      <c r="AK129" s="150"/>
      <c r="AL129" s="150"/>
      <c r="AM129" s="150"/>
      <c r="AN129" s="150"/>
      <c r="AO129" s="150"/>
      <c r="AP129" s="150"/>
      <c r="AQ129" s="150"/>
      <c r="AR129" s="150"/>
      <c r="AS129" s="150"/>
      <c r="AT129" s="150"/>
      <c r="AU129" s="150"/>
      <c r="AV129" s="150"/>
      <c r="AW129" s="150"/>
      <c r="AX129" s="151"/>
      <c r="AY129" s="151"/>
      <c r="AZ129" s="152"/>
      <c r="BA129" s="2"/>
      <c r="BB129" s="2"/>
      <c r="BC129" s="2"/>
      <c r="BD129" s="2"/>
      <c r="BE129" s="2"/>
      <c r="BF129" s="2"/>
      <c r="BG129" s="2"/>
      <c r="BH129" s="2"/>
      <c r="BI129" s="2"/>
      <c r="BJ129" s="2"/>
    </row>
    <row r="130" spans="1:62" x14ac:dyDescent="0.25">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68"/>
      <c r="Z130" s="168"/>
      <c r="AA130" s="168"/>
      <c r="AB130" s="168"/>
      <c r="AC130" s="168"/>
      <c r="AD130" s="168"/>
      <c r="AE130" s="168"/>
      <c r="AF130" s="168"/>
      <c r="AG130" s="168"/>
      <c r="AH130" s="168"/>
      <c r="AI130" s="168"/>
      <c r="AJ130" s="168"/>
      <c r="AK130" s="150"/>
      <c r="AL130" s="150"/>
      <c r="AM130" s="150"/>
      <c r="AN130" s="150"/>
      <c r="AO130" s="150"/>
      <c r="AP130" s="150"/>
      <c r="AQ130" s="150"/>
      <c r="AR130" s="150"/>
      <c r="AS130" s="150"/>
      <c r="AT130" s="150"/>
      <c r="AU130" s="150"/>
      <c r="AV130" s="150"/>
      <c r="AW130" s="150"/>
      <c r="AX130" s="151"/>
      <c r="AY130" s="151"/>
      <c r="AZ130" s="152"/>
      <c r="BA130" s="2"/>
      <c r="BB130" s="2"/>
      <c r="BC130" s="2"/>
      <c r="BD130" s="2"/>
      <c r="BE130" s="2"/>
      <c r="BF130" s="2"/>
      <c r="BG130" s="2"/>
      <c r="BH130" s="2"/>
      <c r="BI130" s="2"/>
      <c r="BJ130" s="2"/>
    </row>
    <row r="131" spans="1:62" x14ac:dyDescent="0.25">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68"/>
      <c r="Z131" s="168"/>
      <c r="AA131" s="168"/>
      <c r="AB131" s="168"/>
      <c r="AC131" s="168"/>
      <c r="AD131" s="168"/>
      <c r="AE131" s="168"/>
      <c r="AF131" s="168"/>
      <c r="AG131" s="168"/>
      <c r="AH131" s="168"/>
      <c r="AI131" s="168"/>
      <c r="AJ131" s="168"/>
      <c r="AK131" s="150"/>
      <c r="AL131" s="150"/>
      <c r="AM131" s="150"/>
      <c r="AN131" s="150"/>
      <c r="AO131" s="150"/>
      <c r="AP131" s="150"/>
      <c r="AQ131" s="150"/>
      <c r="AR131" s="150"/>
      <c r="AS131" s="150"/>
      <c r="AT131" s="150"/>
      <c r="AU131" s="150"/>
      <c r="AV131" s="150"/>
      <c r="AW131" s="150"/>
      <c r="AX131" s="151"/>
      <c r="AY131" s="151"/>
      <c r="AZ131" s="152"/>
      <c r="BA131" s="2"/>
      <c r="BB131" s="2"/>
      <c r="BC131" s="2"/>
      <c r="BD131" s="2"/>
      <c r="BE131" s="2"/>
      <c r="BF131" s="2"/>
      <c r="BG131" s="2"/>
      <c r="BH131" s="2"/>
      <c r="BI131" s="2"/>
      <c r="BJ131" s="2"/>
    </row>
    <row r="132" spans="1:62" x14ac:dyDescent="0.25">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68"/>
      <c r="Z132" s="168"/>
      <c r="AA132" s="168"/>
      <c r="AB132" s="168"/>
      <c r="AC132" s="168"/>
      <c r="AD132" s="168"/>
      <c r="AE132" s="168"/>
      <c r="AF132" s="168"/>
      <c r="AG132" s="168"/>
      <c r="AH132" s="168"/>
      <c r="AI132" s="168"/>
      <c r="AJ132" s="168"/>
      <c r="AK132" s="150"/>
      <c r="AL132" s="150"/>
      <c r="AM132" s="150"/>
      <c r="AN132" s="150"/>
      <c r="AO132" s="150"/>
      <c r="AP132" s="150"/>
      <c r="AQ132" s="150"/>
      <c r="AR132" s="150"/>
      <c r="AS132" s="150"/>
      <c r="AT132" s="150"/>
      <c r="AU132" s="150"/>
      <c r="AV132" s="150"/>
      <c r="AW132" s="150"/>
      <c r="AX132" s="151"/>
      <c r="AY132" s="151"/>
      <c r="AZ132" s="152"/>
      <c r="BA132" s="2"/>
      <c r="BB132" s="2"/>
      <c r="BC132" s="2"/>
      <c r="BD132" s="2"/>
      <c r="BE132" s="2"/>
      <c r="BF132" s="2"/>
      <c r="BG132" s="2"/>
      <c r="BH132" s="2"/>
      <c r="BI132" s="2"/>
      <c r="BJ132" s="2"/>
    </row>
    <row r="133" spans="1:62" x14ac:dyDescent="0.25">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68"/>
      <c r="Z133" s="168"/>
      <c r="AA133" s="168"/>
      <c r="AB133" s="168"/>
      <c r="AC133" s="168"/>
      <c r="AD133" s="168"/>
      <c r="AE133" s="168"/>
      <c r="AF133" s="168"/>
      <c r="AG133" s="168"/>
      <c r="AH133" s="168"/>
      <c r="AI133" s="168"/>
      <c r="AJ133" s="168"/>
      <c r="AK133" s="150"/>
      <c r="AL133" s="150"/>
      <c r="AM133" s="150"/>
      <c r="AN133" s="150"/>
      <c r="AO133" s="150"/>
      <c r="AP133" s="150"/>
      <c r="AQ133" s="150"/>
      <c r="AR133" s="150"/>
      <c r="AS133" s="150"/>
      <c r="AT133" s="150"/>
      <c r="AU133" s="150"/>
      <c r="AV133" s="150"/>
      <c r="AW133" s="150"/>
      <c r="AX133" s="151"/>
      <c r="AY133" s="151"/>
      <c r="AZ133" s="152"/>
      <c r="BA133" s="2"/>
      <c r="BB133" s="2"/>
      <c r="BC133" s="2"/>
      <c r="BD133" s="2"/>
      <c r="BE133" s="2"/>
      <c r="BF133" s="2"/>
      <c r="BG133" s="2"/>
      <c r="BH133" s="2"/>
      <c r="BI133" s="2"/>
      <c r="BJ133" s="2"/>
    </row>
    <row r="134" spans="1:62" x14ac:dyDescent="0.25">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68"/>
      <c r="Z134" s="168"/>
      <c r="AA134" s="168"/>
      <c r="AB134" s="168"/>
      <c r="AC134" s="168"/>
      <c r="AD134" s="168"/>
      <c r="AE134" s="168"/>
      <c r="AF134" s="168"/>
      <c r="AG134" s="168"/>
      <c r="AH134" s="168"/>
      <c r="AI134" s="168"/>
      <c r="AJ134" s="168"/>
      <c r="AK134" s="150"/>
      <c r="AL134" s="150"/>
      <c r="AM134" s="150"/>
      <c r="AN134" s="150"/>
      <c r="AO134" s="150"/>
      <c r="AP134" s="150"/>
      <c r="AQ134" s="150"/>
      <c r="AR134" s="150"/>
      <c r="AS134" s="150"/>
      <c r="AT134" s="150"/>
      <c r="AU134" s="150"/>
      <c r="AV134" s="150"/>
      <c r="AW134" s="150"/>
      <c r="AX134" s="151"/>
      <c r="AY134" s="151"/>
      <c r="AZ134" s="152"/>
      <c r="BA134" s="2"/>
      <c r="BB134" s="2"/>
      <c r="BC134" s="2"/>
      <c r="BD134" s="2"/>
      <c r="BE134" s="2"/>
      <c r="BF134" s="2"/>
      <c r="BG134" s="2"/>
      <c r="BH134" s="2"/>
      <c r="BI134" s="2"/>
      <c r="BJ134" s="2"/>
    </row>
    <row r="135" spans="1:62" x14ac:dyDescent="0.25">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68"/>
      <c r="Z135" s="168"/>
      <c r="AA135" s="168"/>
      <c r="AB135" s="168"/>
      <c r="AC135" s="168"/>
      <c r="AD135" s="168"/>
      <c r="AE135" s="168"/>
      <c r="AF135" s="168"/>
      <c r="AG135" s="168"/>
      <c r="AH135" s="168"/>
      <c r="AI135" s="168"/>
      <c r="AJ135" s="168"/>
      <c r="AK135" s="150"/>
      <c r="AL135" s="150"/>
      <c r="AM135" s="150"/>
      <c r="AN135" s="150"/>
      <c r="AO135" s="150"/>
      <c r="AP135" s="150"/>
      <c r="AQ135" s="150"/>
      <c r="AR135" s="150"/>
      <c r="AS135" s="150"/>
      <c r="AT135" s="150"/>
      <c r="AU135" s="150"/>
      <c r="AV135" s="150"/>
      <c r="AW135" s="150"/>
      <c r="AX135" s="151"/>
      <c r="AY135" s="151"/>
      <c r="AZ135" s="152"/>
      <c r="BA135" s="2"/>
      <c r="BB135" s="2"/>
      <c r="BC135" s="2"/>
      <c r="BD135" s="2"/>
      <c r="BE135" s="2"/>
      <c r="BF135" s="2"/>
      <c r="BG135" s="2"/>
      <c r="BH135" s="2"/>
      <c r="BI135" s="2"/>
      <c r="BJ135" s="2"/>
    </row>
    <row r="136" spans="1:62" x14ac:dyDescent="0.25">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68"/>
      <c r="Z136" s="168"/>
      <c r="AA136" s="168"/>
      <c r="AB136" s="168"/>
      <c r="AC136" s="168"/>
      <c r="AD136" s="168"/>
      <c r="AE136" s="168"/>
      <c r="AF136" s="168"/>
      <c r="AG136" s="168"/>
      <c r="AH136" s="168"/>
      <c r="AI136" s="168"/>
      <c r="AJ136" s="168"/>
      <c r="AK136" s="150"/>
      <c r="AL136" s="150"/>
      <c r="AM136" s="150"/>
      <c r="AN136" s="150"/>
      <c r="AO136" s="150"/>
      <c r="AP136" s="150"/>
      <c r="AQ136" s="150"/>
      <c r="AR136" s="150"/>
      <c r="AS136" s="150"/>
      <c r="AT136" s="150"/>
      <c r="AU136" s="150"/>
      <c r="AV136" s="150"/>
      <c r="AW136" s="150"/>
      <c r="AX136" s="151"/>
      <c r="AY136" s="151"/>
      <c r="AZ136" s="152"/>
      <c r="BA136" s="2"/>
      <c r="BB136" s="2"/>
      <c r="BC136" s="2"/>
      <c r="BD136" s="2"/>
      <c r="BE136" s="2"/>
      <c r="BF136" s="2"/>
      <c r="BG136" s="2"/>
      <c r="BH136" s="2"/>
      <c r="BI136" s="2"/>
      <c r="BJ136" s="2"/>
    </row>
    <row r="137" spans="1:62" x14ac:dyDescent="0.25">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68"/>
      <c r="Z137" s="168"/>
      <c r="AA137" s="168"/>
      <c r="AB137" s="168"/>
      <c r="AC137" s="168"/>
      <c r="AD137" s="168"/>
      <c r="AE137" s="168"/>
      <c r="AF137" s="168"/>
      <c r="AG137" s="168"/>
      <c r="AH137" s="168"/>
      <c r="AI137" s="168"/>
      <c r="AJ137" s="168"/>
      <c r="AK137" s="150"/>
      <c r="AL137" s="150"/>
      <c r="AM137" s="150"/>
      <c r="AN137" s="150"/>
      <c r="AO137" s="150"/>
      <c r="AP137" s="150"/>
      <c r="AQ137" s="150"/>
      <c r="AR137" s="150"/>
      <c r="AS137" s="150"/>
      <c r="AT137" s="150"/>
      <c r="AU137" s="150"/>
      <c r="AV137" s="150"/>
      <c r="AW137" s="150"/>
      <c r="AX137" s="151"/>
      <c r="AY137" s="151"/>
      <c r="AZ137" s="152"/>
      <c r="BA137" s="2"/>
      <c r="BB137" s="2"/>
      <c r="BC137" s="2"/>
      <c r="BD137" s="2"/>
      <c r="BE137" s="2"/>
      <c r="BF137" s="2"/>
      <c r="BG137" s="2"/>
      <c r="BH137" s="2"/>
      <c r="BI137" s="2"/>
      <c r="BJ137" s="2"/>
    </row>
    <row r="138" spans="1:62" x14ac:dyDescent="0.25">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68"/>
      <c r="Z138" s="168"/>
      <c r="AA138" s="168"/>
      <c r="AB138" s="168"/>
      <c r="AC138" s="168"/>
      <c r="AD138" s="168"/>
      <c r="AE138" s="168"/>
      <c r="AF138" s="168"/>
      <c r="AG138" s="168"/>
      <c r="AH138" s="168"/>
      <c r="AI138" s="168"/>
      <c r="AJ138" s="168"/>
      <c r="AK138" s="150"/>
      <c r="AL138" s="150"/>
      <c r="AM138" s="150"/>
      <c r="AN138" s="150"/>
      <c r="AO138" s="150"/>
      <c r="AP138" s="150"/>
      <c r="AQ138" s="150"/>
      <c r="AR138" s="150"/>
      <c r="AS138" s="150"/>
      <c r="AT138" s="150"/>
      <c r="AU138" s="150"/>
      <c r="AV138" s="150"/>
      <c r="AW138" s="150"/>
      <c r="AX138" s="151"/>
      <c r="AY138" s="151"/>
      <c r="AZ138" s="152"/>
      <c r="BA138" s="2"/>
      <c r="BB138" s="2"/>
      <c r="BC138" s="2"/>
      <c r="BD138" s="2"/>
      <c r="BE138" s="2"/>
      <c r="BF138" s="2"/>
      <c r="BG138" s="2"/>
      <c r="BH138" s="2"/>
      <c r="BI138" s="2"/>
      <c r="BJ138" s="2"/>
    </row>
    <row r="139" spans="1:62" x14ac:dyDescent="0.25">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c r="AA139" s="131"/>
      <c r="AB139" s="131"/>
      <c r="AC139" s="131"/>
      <c r="AD139" s="131"/>
      <c r="AE139" s="131"/>
      <c r="AF139" s="131"/>
      <c r="AG139" s="131"/>
      <c r="AH139" s="131"/>
      <c r="AI139" s="150"/>
      <c r="AJ139" s="166"/>
      <c r="AK139" s="166"/>
      <c r="AL139" s="166"/>
      <c r="AM139" s="166"/>
      <c r="AN139" s="166"/>
      <c r="AO139" s="166"/>
      <c r="AP139" s="166"/>
      <c r="AQ139" s="166"/>
      <c r="AR139" s="166"/>
      <c r="AS139" s="166"/>
      <c r="AT139" s="166"/>
      <c r="AU139" s="166"/>
      <c r="AV139" s="166"/>
      <c r="AW139" s="166"/>
      <c r="AX139" s="151"/>
      <c r="AY139" s="151"/>
      <c r="AZ139" s="152"/>
      <c r="BA139" s="2"/>
      <c r="BB139" s="2"/>
      <c r="BC139" s="2"/>
      <c r="BD139" s="2"/>
      <c r="BE139" s="2"/>
      <c r="BF139" s="2"/>
      <c r="BG139" s="2"/>
      <c r="BH139" s="2"/>
      <c r="BI139" s="2"/>
      <c r="BJ139" s="2"/>
    </row>
    <row r="140" spans="1:62" x14ac:dyDescent="0.25">
      <c r="A140" s="2"/>
      <c r="B140" s="2"/>
      <c r="C140" s="2"/>
      <c r="D140" s="2"/>
      <c r="E140" s="2"/>
      <c r="F140" s="2"/>
      <c r="G140" s="2"/>
      <c r="H140" s="2"/>
      <c r="I140" s="2"/>
      <c r="J140" s="2"/>
      <c r="K140" s="2"/>
      <c r="L140" s="2"/>
      <c r="M140" s="2"/>
      <c r="N140" s="2"/>
      <c r="O140" s="2"/>
      <c r="P140" s="2"/>
      <c r="Q140" s="2"/>
      <c r="R140" s="59"/>
      <c r="S140" s="2"/>
      <c r="T140" s="2"/>
      <c r="U140" s="2"/>
      <c r="V140" s="2"/>
      <c r="W140" s="2"/>
      <c r="X140" s="2"/>
      <c r="Y140" s="2"/>
      <c r="Z140" s="2"/>
      <c r="AA140" s="2"/>
      <c r="AB140" s="2"/>
      <c r="AC140" s="2"/>
      <c r="AD140" s="2"/>
      <c r="AE140" s="2"/>
      <c r="AF140" s="2"/>
      <c r="AG140" s="2"/>
      <c r="AH140" s="119"/>
      <c r="AI140" s="167"/>
      <c r="AJ140" s="167"/>
      <c r="AK140" s="167"/>
      <c r="AL140" s="167"/>
      <c r="AM140" s="167"/>
      <c r="AN140" s="167"/>
      <c r="AO140" s="167"/>
      <c r="AP140" s="167"/>
      <c r="AQ140" s="167"/>
      <c r="AR140" s="167"/>
      <c r="AS140" s="167"/>
      <c r="AT140" s="167"/>
      <c r="AU140" s="152"/>
      <c r="AV140" s="152"/>
      <c r="AW140" s="152"/>
      <c r="AX140" s="152"/>
      <c r="AY140" s="152"/>
      <c r="AZ140" s="152"/>
      <c r="BA140" s="2"/>
      <c r="BB140" s="2"/>
      <c r="BC140" s="2"/>
      <c r="BD140" s="2"/>
      <c r="BE140" s="2"/>
      <c r="BF140" s="2"/>
      <c r="BG140" s="2"/>
      <c r="BH140" s="2"/>
      <c r="BI140" s="2"/>
      <c r="BJ140" s="2"/>
    </row>
    <row r="141" spans="1:62" x14ac:dyDescent="0.25">
      <c r="A141" s="2"/>
      <c r="B141" s="2"/>
      <c r="C141" s="2"/>
      <c r="D141" s="2"/>
      <c r="E141" s="2"/>
      <c r="F141" s="2"/>
      <c r="G141" s="2"/>
      <c r="H141" s="2"/>
      <c r="I141" s="2"/>
      <c r="J141" s="2"/>
      <c r="K141" s="2"/>
      <c r="L141" s="2"/>
      <c r="M141" s="2"/>
      <c r="N141" s="2"/>
      <c r="O141" s="2"/>
      <c r="P141" s="2"/>
      <c r="Q141" s="2"/>
      <c r="R141" s="59"/>
      <c r="S141" s="2"/>
      <c r="T141" s="2"/>
      <c r="U141" s="2"/>
      <c r="V141" s="2"/>
      <c r="W141" s="2"/>
      <c r="X141" s="2"/>
      <c r="Y141" s="2"/>
      <c r="Z141" s="2"/>
      <c r="AA141" s="2"/>
      <c r="AB141" s="2"/>
      <c r="AC141" s="2"/>
      <c r="AD141" s="2"/>
      <c r="AE141" s="2"/>
      <c r="AF141" s="2"/>
      <c r="AG141" s="2"/>
      <c r="AH141" s="119"/>
      <c r="AI141" s="167"/>
      <c r="AJ141" s="167"/>
      <c r="AK141" s="167"/>
      <c r="AL141" s="167"/>
      <c r="AM141" s="167"/>
      <c r="AN141" s="167"/>
      <c r="AO141" s="167"/>
      <c r="AP141" s="167"/>
      <c r="AQ141" s="167"/>
      <c r="AR141" s="167"/>
      <c r="AS141" s="167"/>
      <c r="AT141" s="167"/>
      <c r="AU141" s="152"/>
      <c r="AV141" s="152"/>
      <c r="AW141" s="152"/>
      <c r="AX141" s="152"/>
      <c r="AY141" s="152"/>
      <c r="AZ141" s="152"/>
      <c r="BA141" s="2"/>
      <c r="BB141" s="2"/>
      <c r="BC141" s="2"/>
      <c r="BD141" s="2"/>
      <c r="BE141" s="2"/>
      <c r="BF141" s="2"/>
      <c r="BG141" s="2"/>
      <c r="BH141" s="2"/>
      <c r="BI141" s="2"/>
      <c r="BJ141" s="2"/>
    </row>
    <row r="142" spans="1:62" x14ac:dyDescent="0.25">
      <c r="A142" s="2"/>
      <c r="B142" s="2"/>
      <c r="C142" s="2"/>
      <c r="D142" s="2"/>
      <c r="E142" s="2"/>
      <c r="F142" s="2"/>
      <c r="G142" s="2"/>
      <c r="H142" s="2"/>
      <c r="I142" s="2"/>
      <c r="J142" s="2"/>
      <c r="K142" s="2"/>
      <c r="L142" s="2"/>
      <c r="M142" s="2"/>
      <c r="N142" s="2"/>
      <c r="O142" s="2"/>
      <c r="P142" s="2"/>
      <c r="Q142" s="2"/>
      <c r="R142" s="59"/>
      <c r="S142" s="2"/>
      <c r="T142" s="2"/>
      <c r="U142" s="2"/>
      <c r="V142" s="2"/>
      <c r="W142" s="2"/>
      <c r="X142" s="2"/>
      <c r="Y142" s="2"/>
      <c r="Z142" s="2"/>
      <c r="AA142" s="2"/>
      <c r="AB142" s="2"/>
      <c r="AC142" s="2"/>
      <c r="AD142" s="2"/>
      <c r="AE142" s="2"/>
      <c r="AF142" s="2"/>
      <c r="AG142" s="2"/>
      <c r="AH142" s="119"/>
      <c r="AI142" s="127"/>
      <c r="AJ142" s="127"/>
      <c r="AK142" s="127"/>
      <c r="AL142" s="127"/>
      <c r="AM142" s="127"/>
      <c r="AN142" s="127"/>
      <c r="AO142" s="127"/>
      <c r="AP142" s="127"/>
      <c r="AQ142" s="127"/>
      <c r="AR142" s="127"/>
      <c r="AS142" s="127"/>
      <c r="AT142" s="127"/>
      <c r="AU142" s="119"/>
      <c r="AV142" s="119"/>
      <c r="AW142" s="119"/>
      <c r="AX142" s="119"/>
      <c r="AY142" s="2"/>
      <c r="AZ142" s="2"/>
      <c r="BA142" s="2"/>
      <c r="BB142" s="2"/>
      <c r="BC142" s="2"/>
      <c r="BD142" s="2"/>
      <c r="BE142" s="2"/>
      <c r="BF142" s="2"/>
      <c r="BG142" s="2"/>
      <c r="BH142" s="2"/>
      <c r="BI142" s="2"/>
      <c r="BJ142" s="2"/>
    </row>
    <row r="143" spans="1:62" x14ac:dyDescent="0.25">
      <c r="A143" s="2"/>
      <c r="B143" s="2"/>
      <c r="C143" s="2"/>
      <c r="D143" s="2"/>
      <c r="E143" s="2"/>
      <c r="F143" s="2"/>
      <c r="G143" s="2"/>
      <c r="H143" s="2"/>
      <c r="I143" s="2"/>
      <c r="J143" s="2"/>
      <c r="K143" s="2"/>
      <c r="L143" s="2"/>
      <c r="M143" s="2"/>
      <c r="N143" s="2"/>
      <c r="O143" s="2"/>
      <c r="P143" s="2"/>
      <c r="Q143" s="2"/>
      <c r="R143" s="59"/>
      <c r="S143" s="2"/>
      <c r="T143" s="2"/>
      <c r="U143" s="2"/>
      <c r="V143" s="2"/>
      <c r="W143" s="2"/>
      <c r="X143" s="2"/>
      <c r="Y143" s="2"/>
      <c r="Z143" s="2"/>
      <c r="AA143" s="2"/>
      <c r="AB143" s="2"/>
      <c r="AC143" s="2"/>
      <c r="AD143" s="2"/>
      <c r="AE143" s="2"/>
      <c r="AF143" s="2"/>
      <c r="AG143" s="2"/>
      <c r="AH143" s="119"/>
      <c r="AI143" s="127"/>
      <c r="AJ143" s="127"/>
      <c r="AK143" s="127"/>
      <c r="AL143" s="127"/>
      <c r="AM143" s="127"/>
      <c r="AN143" s="127"/>
      <c r="AO143" s="127"/>
      <c r="AP143" s="127"/>
      <c r="AQ143" s="127"/>
      <c r="AR143" s="127"/>
      <c r="AS143" s="127"/>
      <c r="AT143" s="127"/>
      <c r="AU143" s="119"/>
      <c r="AV143" s="119"/>
      <c r="AW143" s="119"/>
      <c r="AX143" s="119"/>
      <c r="AY143" s="2"/>
      <c r="AZ143" s="2"/>
      <c r="BA143" s="2"/>
      <c r="BB143" s="2"/>
      <c r="BC143" s="2"/>
      <c r="BD143" s="2"/>
      <c r="BE143" s="2"/>
      <c r="BF143" s="2"/>
      <c r="BG143" s="2"/>
      <c r="BH143" s="2"/>
      <c r="BI143" s="2"/>
      <c r="BJ143" s="2"/>
    </row>
    <row r="144" spans="1:62" x14ac:dyDescent="0.25">
      <c r="A144" s="2"/>
      <c r="B144" s="2"/>
      <c r="C144" s="2"/>
      <c r="D144" s="2"/>
      <c r="E144" s="2"/>
      <c r="F144" s="2"/>
      <c r="G144" s="2"/>
      <c r="H144" s="2"/>
      <c r="I144" s="2"/>
      <c r="J144" s="2"/>
      <c r="K144" s="2"/>
      <c r="L144" s="2"/>
      <c r="M144" s="2"/>
      <c r="N144" s="2"/>
      <c r="O144" s="2"/>
      <c r="P144" s="2"/>
      <c r="Q144" s="2"/>
      <c r="R144" s="59"/>
      <c r="S144" s="2"/>
      <c r="T144" s="2"/>
      <c r="U144" s="2"/>
      <c r="V144" s="2"/>
      <c r="W144" s="2"/>
      <c r="X144" s="2"/>
      <c r="Y144" s="2"/>
      <c r="Z144" s="2"/>
      <c r="AA144" s="2"/>
      <c r="AB144" s="2"/>
      <c r="AC144" s="2"/>
      <c r="AD144" s="2"/>
      <c r="AE144" s="2"/>
      <c r="AF144" s="2"/>
      <c r="AG144" s="2"/>
      <c r="AH144" s="119"/>
      <c r="AI144" s="119"/>
      <c r="AJ144" s="119"/>
      <c r="AK144" s="119"/>
      <c r="AL144" s="119"/>
      <c r="AM144" s="119"/>
      <c r="AN144" s="119"/>
      <c r="AO144" s="119"/>
      <c r="AP144" s="119"/>
      <c r="AQ144" s="119"/>
      <c r="AR144" s="119"/>
      <c r="AS144" s="119"/>
      <c r="AT144" s="119"/>
      <c r="AU144" s="119"/>
      <c r="AV144" s="119"/>
      <c r="AW144" s="119"/>
      <c r="AX144" s="119"/>
      <c r="AY144" s="2"/>
      <c r="AZ144" s="2"/>
      <c r="BA144" s="2"/>
      <c r="BB144" s="2"/>
      <c r="BC144" s="2"/>
      <c r="BD144" s="2"/>
      <c r="BE144" s="2"/>
      <c r="BF144" s="2"/>
      <c r="BG144" s="2"/>
      <c r="BH144" s="2"/>
      <c r="BI144" s="2"/>
      <c r="BJ144" s="2"/>
    </row>
    <row r="145" spans="1:62" x14ac:dyDescent="0.25">
      <c r="A145" s="2"/>
      <c r="B145" s="2"/>
      <c r="C145" s="2"/>
      <c r="D145" s="2"/>
      <c r="E145" s="2"/>
      <c r="F145" s="2"/>
      <c r="G145" s="2"/>
      <c r="H145" s="2"/>
      <c r="I145" s="2"/>
      <c r="J145" s="2"/>
      <c r="K145" s="2"/>
      <c r="L145" s="2"/>
      <c r="M145" s="2"/>
      <c r="N145" s="2"/>
      <c r="O145" s="2"/>
      <c r="P145" s="2"/>
      <c r="Q145" s="2"/>
      <c r="R145" s="59"/>
      <c r="S145" s="2"/>
      <c r="T145" s="2"/>
      <c r="U145" s="2"/>
      <c r="V145" s="2"/>
      <c r="W145" s="2"/>
      <c r="X145" s="2"/>
      <c r="Y145" s="2"/>
      <c r="Z145" s="2"/>
      <c r="AA145" s="2"/>
      <c r="AB145" s="2"/>
      <c r="AC145" s="2"/>
      <c r="AD145" s="2"/>
      <c r="AE145" s="2"/>
      <c r="AF145" s="2"/>
      <c r="AG145" s="2"/>
      <c r="AH145" s="119"/>
      <c r="AI145" s="119"/>
      <c r="AJ145" s="119"/>
      <c r="AK145" s="119"/>
      <c r="AL145" s="119"/>
      <c r="AM145" s="119"/>
      <c r="AN145" s="119"/>
      <c r="AO145" s="119"/>
      <c r="AP145" s="119"/>
      <c r="AQ145" s="119"/>
      <c r="AR145" s="119"/>
      <c r="AS145" s="119"/>
      <c r="AT145" s="119"/>
      <c r="AU145" s="119"/>
      <c r="AV145" s="119"/>
      <c r="AW145" s="119"/>
      <c r="AX145" s="119"/>
      <c r="AY145" s="2"/>
      <c r="AZ145" s="2"/>
      <c r="BA145" s="2"/>
      <c r="BB145" s="2"/>
      <c r="BC145" s="2"/>
      <c r="BD145" s="2"/>
      <c r="BE145" s="2"/>
      <c r="BF145" s="2"/>
      <c r="BG145" s="2"/>
      <c r="BH145" s="2"/>
      <c r="BI145" s="2"/>
      <c r="BJ145" s="2"/>
    </row>
    <row r="146" spans="1:62" x14ac:dyDescent="0.25">
      <c r="A146" s="2"/>
      <c r="B146" s="2"/>
      <c r="C146" s="2"/>
      <c r="D146" s="2"/>
      <c r="E146" s="2"/>
      <c r="F146" s="2"/>
      <c r="G146" s="2"/>
      <c r="H146" s="2"/>
      <c r="I146" s="2"/>
      <c r="J146" s="2"/>
      <c r="K146" s="2"/>
      <c r="L146" s="2"/>
      <c r="M146" s="2"/>
      <c r="N146" s="2"/>
      <c r="O146" s="2"/>
      <c r="P146" s="2"/>
      <c r="Q146" s="2"/>
      <c r="R146" s="59"/>
      <c r="S146" s="2"/>
      <c r="T146" s="2"/>
      <c r="U146" s="2"/>
      <c r="V146" s="2"/>
      <c r="W146" s="2"/>
      <c r="X146" s="2"/>
      <c r="Y146" s="2"/>
      <c r="Z146" s="2"/>
      <c r="AA146" s="2"/>
      <c r="AB146" s="2"/>
      <c r="AC146" s="2"/>
      <c r="AD146" s="2"/>
      <c r="AE146" s="2"/>
      <c r="AF146" s="2"/>
      <c r="AG146" s="2"/>
      <c r="AH146" s="119"/>
      <c r="AI146" s="119"/>
      <c r="AJ146" s="119"/>
      <c r="AK146" s="119"/>
      <c r="AL146" s="119"/>
      <c r="AM146" s="119"/>
      <c r="AN146" s="119"/>
      <c r="AO146" s="119"/>
      <c r="AP146" s="119"/>
      <c r="AQ146" s="119"/>
      <c r="AR146" s="119"/>
      <c r="AS146" s="119"/>
      <c r="AT146" s="119"/>
      <c r="AU146" s="119"/>
      <c r="AV146" s="119"/>
      <c r="AW146" s="119"/>
      <c r="AX146" s="119"/>
      <c r="AY146" s="2"/>
      <c r="AZ146" s="2"/>
      <c r="BA146" s="2"/>
      <c r="BB146" s="2"/>
      <c r="BC146" s="2"/>
      <c r="BD146" s="2"/>
      <c r="BE146" s="2"/>
      <c r="BF146" s="2"/>
      <c r="BG146" s="2"/>
      <c r="BH146" s="2"/>
      <c r="BI146" s="2"/>
      <c r="BJ146" s="2"/>
    </row>
    <row r="147" spans="1:62" x14ac:dyDescent="0.25">
      <c r="A147" s="2"/>
      <c r="B147" s="2"/>
      <c r="C147" s="2"/>
      <c r="D147" s="2"/>
      <c r="E147" s="2"/>
      <c r="F147" s="2"/>
      <c r="G147" s="2"/>
      <c r="H147" s="2"/>
      <c r="I147" s="2"/>
      <c r="J147" s="2"/>
      <c r="K147" s="2"/>
      <c r="L147" s="2"/>
      <c r="M147" s="2"/>
      <c r="N147" s="2"/>
      <c r="O147" s="2"/>
      <c r="P147" s="2"/>
      <c r="Q147" s="2"/>
      <c r="R147" s="59"/>
      <c r="S147" s="2"/>
      <c r="T147" s="2"/>
      <c r="U147" s="2"/>
      <c r="V147" s="2"/>
      <c r="W147" s="2"/>
      <c r="X147" s="2"/>
      <c r="Y147" s="2"/>
      <c r="Z147" s="2"/>
      <c r="AA147" s="2"/>
      <c r="AB147" s="2"/>
      <c r="AC147" s="2"/>
      <c r="AD147" s="2"/>
      <c r="AE147" s="2"/>
      <c r="AF147" s="2"/>
      <c r="AG147" s="2"/>
      <c r="AH147" s="119"/>
      <c r="AI147" s="119"/>
      <c r="AJ147" s="119"/>
      <c r="AK147" s="119"/>
      <c r="AL147" s="119"/>
      <c r="AM147" s="119"/>
      <c r="AN147" s="119"/>
      <c r="AO147" s="119"/>
      <c r="AP147" s="119"/>
      <c r="AQ147" s="119"/>
      <c r="AR147" s="119"/>
      <c r="AS147" s="119"/>
      <c r="AT147" s="119"/>
      <c r="AU147" s="119"/>
      <c r="AV147" s="119"/>
      <c r="AW147" s="119"/>
      <c r="AX147" s="119"/>
      <c r="AY147" s="2"/>
      <c r="AZ147" s="2"/>
      <c r="BA147" s="2"/>
      <c r="BB147" s="2"/>
      <c r="BC147" s="2"/>
      <c r="BD147" s="2"/>
      <c r="BE147" s="2"/>
      <c r="BF147" s="2"/>
      <c r="BG147" s="2"/>
      <c r="BH147" s="2"/>
      <c r="BI147" s="2"/>
      <c r="BJ147" s="2"/>
    </row>
    <row r="148" spans="1:6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119"/>
      <c r="AI148" s="119"/>
      <c r="AJ148" s="119"/>
      <c r="AK148" s="119"/>
      <c r="AL148" s="119"/>
      <c r="AM148" s="119"/>
      <c r="AN148" s="119"/>
      <c r="AO148" s="119"/>
      <c r="AP148" s="119"/>
      <c r="AQ148" s="119"/>
      <c r="AR148" s="119"/>
      <c r="AS148" s="119"/>
      <c r="AT148" s="119"/>
      <c r="AU148" s="119"/>
      <c r="AV148" s="119"/>
      <c r="AW148" s="119"/>
      <c r="AX148" s="119"/>
      <c r="AY148" s="2"/>
      <c r="AZ148" s="2"/>
      <c r="BA148" s="2"/>
      <c r="BB148" s="2"/>
      <c r="BC148" s="2"/>
      <c r="BD148" s="2"/>
      <c r="BE148" s="2"/>
      <c r="BF148" s="2"/>
      <c r="BG148" s="2"/>
      <c r="BH148" s="2"/>
      <c r="BI148" s="2"/>
      <c r="BJ148" s="2"/>
    </row>
    <row r="149" spans="1:6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119"/>
      <c r="AI149" s="119"/>
      <c r="AJ149" s="119"/>
      <c r="AK149" s="119"/>
      <c r="AL149" s="119"/>
      <c r="AM149" s="119"/>
      <c r="AN149" s="119"/>
      <c r="AO149" s="119"/>
      <c r="AP149" s="119"/>
      <c r="AQ149" s="119"/>
      <c r="AR149" s="119"/>
      <c r="AS149" s="119"/>
      <c r="AT149" s="119"/>
      <c r="AU149" s="119"/>
      <c r="AV149" s="119"/>
      <c r="AW149" s="119"/>
      <c r="AX149" s="119"/>
      <c r="AY149" s="2"/>
      <c r="AZ149" s="2"/>
      <c r="BA149" s="2"/>
      <c r="BB149" s="2"/>
      <c r="BC149" s="2"/>
      <c r="BD149" s="2"/>
      <c r="BE149" s="2"/>
      <c r="BF149" s="2"/>
      <c r="BG149" s="2"/>
      <c r="BH149" s="2"/>
      <c r="BI149" s="2"/>
      <c r="BJ149" s="2"/>
    </row>
    <row r="150" spans="1:6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119"/>
      <c r="AI150" s="119"/>
      <c r="AJ150" s="119"/>
      <c r="AK150" s="119"/>
      <c r="AL150" s="119"/>
      <c r="AM150" s="119"/>
      <c r="AN150" s="119"/>
      <c r="AO150" s="119"/>
      <c r="AP150" s="119"/>
      <c r="AQ150" s="119"/>
      <c r="AR150" s="119"/>
      <c r="AS150" s="119"/>
      <c r="AT150" s="119"/>
      <c r="AU150" s="119"/>
      <c r="AV150" s="119"/>
      <c r="AW150" s="119"/>
      <c r="AX150" s="119"/>
      <c r="AY150" s="2"/>
      <c r="AZ150" s="2"/>
      <c r="BA150" s="2"/>
      <c r="BB150" s="2"/>
      <c r="BC150" s="2"/>
      <c r="BD150" s="2"/>
      <c r="BE150" s="2"/>
      <c r="BF150" s="2"/>
      <c r="BG150" s="2"/>
      <c r="BH150" s="2"/>
      <c r="BI150" s="2"/>
      <c r="BJ150" s="2"/>
    </row>
    <row r="151" spans="1:6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119"/>
      <c r="AI151" s="119"/>
      <c r="AJ151" s="119"/>
      <c r="AK151" s="119"/>
      <c r="AL151" s="119"/>
      <c r="AM151" s="119"/>
      <c r="AN151" s="119"/>
      <c r="AO151" s="119"/>
      <c r="AP151" s="119"/>
      <c r="AQ151" s="119"/>
      <c r="AR151" s="119"/>
      <c r="AS151" s="119"/>
      <c r="AT151" s="119"/>
      <c r="AU151" s="119"/>
      <c r="AV151" s="119"/>
      <c r="AW151" s="119"/>
      <c r="AX151" s="119"/>
      <c r="AY151" s="2"/>
      <c r="AZ151" s="2"/>
      <c r="BA151" s="2"/>
      <c r="BB151" s="2"/>
      <c r="BC151" s="2"/>
      <c r="BD151" s="2"/>
      <c r="BE151" s="2"/>
      <c r="BF151" s="2"/>
      <c r="BG151" s="2"/>
      <c r="BH151" s="2"/>
      <c r="BI151" s="2"/>
      <c r="BJ151" s="2"/>
    </row>
    <row r="152" spans="1:6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119"/>
      <c r="AI152" s="119"/>
      <c r="AJ152" s="119"/>
      <c r="AK152" s="119"/>
      <c r="AL152" s="119"/>
      <c r="AM152" s="119"/>
      <c r="AN152" s="119"/>
      <c r="AO152" s="119"/>
      <c r="AP152" s="119"/>
      <c r="AQ152" s="119"/>
      <c r="AR152" s="119"/>
      <c r="AS152" s="119"/>
      <c r="AT152" s="119"/>
      <c r="AU152" s="119"/>
      <c r="AV152" s="119"/>
      <c r="AW152" s="119"/>
      <c r="AX152" s="119"/>
      <c r="AY152" s="2"/>
      <c r="AZ152" s="2"/>
      <c r="BA152" s="2"/>
      <c r="BB152" s="2"/>
      <c r="BC152" s="2"/>
      <c r="BD152" s="2"/>
      <c r="BE152" s="2"/>
      <c r="BF152" s="2"/>
      <c r="BG152" s="2"/>
      <c r="BH152" s="2"/>
      <c r="BI152" s="2"/>
      <c r="BJ152" s="2"/>
    </row>
    <row r="153" spans="1:6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119"/>
      <c r="AI153" s="119"/>
      <c r="AJ153" s="119"/>
      <c r="AK153" s="119"/>
      <c r="AL153" s="119"/>
      <c r="AM153" s="119"/>
      <c r="AN153" s="119"/>
      <c r="AO153" s="119"/>
      <c r="AP153" s="119"/>
      <c r="AQ153" s="119"/>
      <c r="AR153" s="119"/>
      <c r="AS153" s="119"/>
      <c r="AT153" s="119"/>
      <c r="AU153" s="119"/>
      <c r="AV153" s="119"/>
      <c r="AW153" s="119"/>
      <c r="AX153" s="119"/>
      <c r="AY153" s="2"/>
      <c r="AZ153" s="2"/>
      <c r="BA153" s="2"/>
      <c r="BB153" s="2"/>
      <c r="BC153" s="2"/>
      <c r="BD153" s="2"/>
      <c r="BE153" s="2"/>
      <c r="BF153" s="2"/>
      <c r="BG153" s="2"/>
      <c r="BH153" s="2"/>
      <c r="BI153" s="2"/>
      <c r="BJ153" s="2"/>
    </row>
    <row r="154" spans="1:6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119"/>
      <c r="AI154" s="119"/>
      <c r="AJ154" s="119"/>
      <c r="AK154" s="119"/>
      <c r="AL154" s="119"/>
      <c r="AM154" s="119"/>
      <c r="AN154" s="119"/>
      <c r="AO154" s="119"/>
      <c r="AP154" s="119"/>
      <c r="AQ154" s="119"/>
      <c r="AR154" s="119"/>
      <c r="AS154" s="119"/>
      <c r="AT154" s="119"/>
      <c r="AU154" s="119"/>
      <c r="AV154" s="119"/>
      <c r="AW154" s="119"/>
      <c r="AX154" s="119"/>
      <c r="AY154" s="2"/>
      <c r="AZ154" s="2"/>
      <c r="BA154" s="2"/>
      <c r="BB154" s="2"/>
      <c r="BC154" s="2"/>
      <c r="BD154" s="2"/>
      <c r="BE154" s="2"/>
      <c r="BF154" s="2"/>
      <c r="BG154" s="2"/>
      <c r="BH154" s="2"/>
      <c r="BI154" s="2"/>
      <c r="BJ154" s="2"/>
    </row>
    <row r="155" spans="1:6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119"/>
      <c r="AI155" s="119"/>
      <c r="AJ155" s="119"/>
      <c r="AK155" s="119"/>
      <c r="AL155" s="119"/>
      <c r="AM155" s="119"/>
      <c r="AN155" s="119"/>
      <c r="AO155" s="119"/>
      <c r="AP155" s="119"/>
      <c r="AQ155" s="119"/>
      <c r="AR155" s="119"/>
      <c r="AS155" s="119"/>
      <c r="AT155" s="119"/>
      <c r="AU155" s="119"/>
      <c r="AV155" s="119"/>
      <c r="AW155" s="119"/>
      <c r="AX155" s="119"/>
      <c r="AY155" s="2"/>
      <c r="AZ155" s="2"/>
      <c r="BA155" s="2"/>
      <c r="BB155" s="2"/>
      <c r="BC155" s="2"/>
      <c r="BD155" s="2"/>
      <c r="BE155" s="2"/>
      <c r="BF155" s="2"/>
      <c r="BG155" s="2"/>
      <c r="BH155" s="2"/>
      <c r="BI155" s="2"/>
      <c r="BJ155" s="2"/>
    </row>
    <row r="156" spans="1:6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119"/>
      <c r="AI156" s="119"/>
      <c r="AJ156" s="119"/>
      <c r="AK156" s="119"/>
      <c r="AL156" s="119"/>
      <c r="AM156" s="119"/>
      <c r="AN156" s="119"/>
      <c r="AO156" s="119"/>
      <c r="AP156" s="119"/>
      <c r="AQ156" s="119"/>
      <c r="AR156" s="119"/>
      <c r="AS156" s="119"/>
      <c r="AT156" s="119"/>
      <c r="AU156" s="119"/>
      <c r="AV156" s="119"/>
      <c r="AW156" s="119"/>
      <c r="AX156" s="119"/>
      <c r="AY156" s="2"/>
      <c r="AZ156" s="2"/>
      <c r="BA156" s="2"/>
      <c r="BB156" s="2"/>
      <c r="BC156" s="2"/>
      <c r="BD156" s="2"/>
      <c r="BE156" s="2"/>
      <c r="BF156" s="2"/>
      <c r="BG156" s="2"/>
      <c r="BH156" s="2"/>
      <c r="BI156" s="2"/>
      <c r="BJ156" s="2"/>
    </row>
    <row r="157" spans="1:6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119"/>
      <c r="AI157" s="119"/>
      <c r="AJ157" s="119"/>
      <c r="AK157" s="119"/>
      <c r="AL157" s="119"/>
      <c r="AM157" s="119"/>
      <c r="AN157" s="119"/>
      <c r="AO157" s="119"/>
      <c r="AP157" s="119"/>
      <c r="AQ157" s="119"/>
      <c r="AR157" s="119"/>
      <c r="AS157" s="119"/>
      <c r="AT157" s="119"/>
      <c r="AU157" s="119"/>
      <c r="AV157" s="119"/>
      <c r="AW157" s="119"/>
      <c r="AX157" s="119"/>
      <c r="AY157" s="2"/>
      <c r="AZ157" s="2"/>
      <c r="BA157" s="2"/>
      <c r="BB157" s="2"/>
      <c r="BC157" s="2"/>
      <c r="BD157" s="2"/>
      <c r="BE157" s="2"/>
      <c r="BF157" s="2"/>
      <c r="BG157" s="2"/>
      <c r="BH157" s="2"/>
      <c r="BI157" s="2"/>
      <c r="BJ157" s="2"/>
    </row>
    <row r="158" spans="1:6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119"/>
      <c r="AI158" s="119"/>
      <c r="AJ158" s="119"/>
      <c r="AK158" s="119"/>
      <c r="AL158" s="119"/>
      <c r="AM158" s="119"/>
      <c r="AN158" s="119"/>
      <c r="AO158" s="119"/>
      <c r="AP158" s="119"/>
      <c r="AQ158" s="119"/>
      <c r="AR158" s="119"/>
      <c r="AS158" s="119"/>
      <c r="AT158" s="119"/>
      <c r="AU158" s="119"/>
      <c r="AV158" s="119"/>
      <c r="AW158" s="119"/>
      <c r="AX158" s="119"/>
      <c r="AY158" s="2"/>
      <c r="AZ158" s="2"/>
      <c r="BA158" s="2"/>
      <c r="BB158" s="2"/>
      <c r="BC158" s="2"/>
      <c r="BD158" s="2"/>
      <c r="BE158" s="2"/>
      <c r="BF158" s="2"/>
      <c r="BG158" s="2"/>
      <c r="BH158" s="2"/>
      <c r="BI158" s="2"/>
      <c r="BJ158" s="2"/>
    </row>
    <row r="159" spans="1:6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119"/>
      <c r="AI159" s="119"/>
      <c r="AJ159" s="119"/>
      <c r="AK159" s="119"/>
      <c r="AL159" s="119"/>
      <c r="AM159" s="119"/>
      <c r="AN159" s="119"/>
      <c r="AO159" s="119"/>
      <c r="AP159" s="119"/>
      <c r="AQ159" s="119"/>
      <c r="AR159" s="119"/>
      <c r="AS159" s="119"/>
      <c r="AT159" s="119"/>
      <c r="AU159" s="119"/>
      <c r="AV159" s="119"/>
      <c r="AW159" s="119"/>
      <c r="AX159" s="119"/>
      <c r="AY159" s="2"/>
      <c r="AZ159" s="2"/>
      <c r="BA159" s="2"/>
      <c r="BB159" s="2"/>
      <c r="BC159" s="2"/>
      <c r="BD159" s="2"/>
      <c r="BE159" s="2"/>
      <c r="BF159" s="2"/>
      <c r="BG159" s="2"/>
      <c r="BH159" s="2"/>
      <c r="BI159" s="2"/>
      <c r="BJ159" s="2"/>
    </row>
    <row r="160" spans="1:6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119"/>
      <c r="AI160" s="119"/>
      <c r="AJ160" s="119"/>
      <c r="AK160" s="119"/>
      <c r="AL160" s="119"/>
      <c r="AM160" s="119"/>
      <c r="AN160" s="119"/>
      <c r="AO160" s="119"/>
      <c r="AP160" s="119"/>
      <c r="AQ160" s="119"/>
      <c r="AR160" s="119"/>
      <c r="AS160" s="119"/>
      <c r="AT160" s="119"/>
      <c r="AU160" s="119"/>
      <c r="AV160" s="119"/>
      <c r="AW160" s="119"/>
      <c r="AX160" s="119"/>
      <c r="AY160" s="2"/>
      <c r="AZ160" s="2"/>
      <c r="BA160" s="2"/>
      <c r="BB160" s="2"/>
      <c r="BC160" s="2"/>
      <c r="BD160" s="2"/>
      <c r="BE160" s="2"/>
      <c r="BF160" s="2"/>
      <c r="BG160" s="2"/>
      <c r="BH160" s="2"/>
      <c r="BI160" s="2"/>
      <c r="BJ160" s="2"/>
    </row>
    <row r="161" spans="1:6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119"/>
      <c r="AI161" s="119"/>
      <c r="AJ161" s="119"/>
      <c r="AK161" s="119"/>
      <c r="AL161" s="119"/>
      <c r="AM161" s="119"/>
      <c r="AN161" s="119"/>
      <c r="AO161" s="119"/>
      <c r="AP161" s="119"/>
      <c r="AQ161" s="119"/>
      <c r="AR161" s="119"/>
      <c r="AS161" s="119"/>
      <c r="AT161" s="119"/>
      <c r="AU161" s="119"/>
      <c r="AV161" s="119"/>
      <c r="AW161" s="119"/>
      <c r="AX161" s="119"/>
      <c r="AY161" s="2"/>
      <c r="AZ161" s="2"/>
      <c r="BA161" s="2"/>
      <c r="BB161" s="2"/>
      <c r="BC161" s="2"/>
      <c r="BD161" s="2"/>
      <c r="BE161" s="2"/>
      <c r="BF161" s="2"/>
      <c r="BG161" s="2"/>
      <c r="BH161" s="2"/>
      <c r="BI161" s="2"/>
      <c r="BJ161" s="2"/>
    </row>
    <row r="162" spans="1:6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119"/>
      <c r="AI162" s="119"/>
      <c r="AJ162" s="119"/>
      <c r="AK162" s="119"/>
      <c r="AL162" s="119"/>
      <c r="AM162" s="119"/>
      <c r="AN162" s="119"/>
      <c r="AO162" s="119"/>
      <c r="AP162" s="119"/>
      <c r="AQ162" s="119"/>
      <c r="AR162" s="119"/>
      <c r="AS162" s="119"/>
      <c r="AT162" s="119"/>
      <c r="AU162" s="119"/>
      <c r="AV162" s="119"/>
      <c r="AW162" s="119"/>
      <c r="AX162" s="119"/>
      <c r="AY162" s="2"/>
      <c r="AZ162" s="2"/>
      <c r="BA162" s="2"/>
      <c r="BB162" s="2"/>
      <c r="BC162" s="2"/>
      <c r="BD162" s="2"/>
      <c r="BE162" s="2"/>
      <c r="BF162" s="2"/>
      <c r="BG162" s="2"/>
      <c r="BH162" s="2"/>
      <c r="BI162" s="2"/>
      <c r="BJ162" s="2"/>
    </row>
    <row r="163" spans="1:6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119"/>
      <c r="AI163" s="119"/>
      <c r="AJ163" s="119"/>
      <c r="AK163" s="119"/>
      <c r="AL163" s="119"/>
      <c r="AM163" s="119"/>
      <c r="AN163" s="119"/>
      <c r="AO163" s="119"/>
      <c r="AP163" s="119"/>
      <c r="AQ163" s="119"/>
      <c r="AR163" s="119"/>
      <c r="AS163" s="119"/>
      <c r="AT163" s="119"/>
      <c r="AU163" s="119"/>
      <c r="AV163" s="119"/>
      <c r="AW163" s="119"/>
      <c r="AX163" s="119"/>
      <c r="AY163" s="2"/>
      <c r="AZ163" s="2"/>
      <c r="BA163" s="2"/>
      <c r="BB163" s="2"/>
      <c r="BC163" s="2"/>
      <c r="BD163" s="2"/>
      <c r="BE163" s="2"/>
      <c r="BF163" s="2"/>
      <c r="BG163" s="2"/>
      <c r="BH163" s="2"/>
      <c r="BI163" s="2"/>
      <c r="BJ163" s="2"/>
    </row>
    <row r="164" spans="1:6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row>
    <row r="165" spans="1:6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row>
    <row r="166" spans="1:6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row>
    <row r="167" spans="1:6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row>
    <row r="168" spans="1:6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row>
    <row r="169" spans="1:6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row r="171" spans="1:6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row>
    <row r="172" spans="1:6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row>
    <row r="173" spans="1:6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row>
    <row r="174" spans="1:6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row>
    <row r="175" spans="1:6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row>
    <row r="176" spans="1:6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row>
    <row r="177" spans="1:5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row>
    <row r="178" spans="1:5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row>
    <row r="179" spans="1:5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row>
    <row r="180" spans="1:5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row>
    <row r="181" spans="1:5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row>
    <row r="182" spans="1:5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row>
    <row r="183" spans="1:5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row>
    <row r="184" spans="1:5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row>
    <row r="185" spans="1:5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row>
    <row r="186" spans="1:5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row>
    <row r="187" spans="1:5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row>
    <row r="188" spans="1:5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row>
    <row r="189" spans="1:5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row>
    <row r="190" spans="1:5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row>
    <row r="191" spans="1:5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row>
    <row r="192" spans="1:5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row>
    <row r="193" spans="1:5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row>
    <row r="194" spans="1:5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row>
    <row r="195" spans="1:5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row>
    <row r="196" spans="1:5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row>
    <row r="197" spans="1:5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row>
    <row r="198" spans="1:5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row>
    <row r="199" spans="1:5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row>
    <row r="200" spans="1:5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row>
    <row r="201" spans="1:5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row>
    <row r="202" spans="1:5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row>
    <row r="203" spans="1:5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row>
    <row r="204" spans="1:5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row>
    <row r="205" spans="1:5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row>
    <row r="206" spans="1:5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row>
    <row r="207" spans="1:5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row>
    <row r="208" spans="1:5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row>
    <row r="209" spans="1:5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row>
    <row r="210" spans="1:5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row>
    <row r="211" spans="1:5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row>
    <row r="212" spans="1:5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row>
    <row r="213" spans="1:5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row>
    <row r="214" spans="1:5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row>
    <row r="215" spans="1:5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row>
    <row r="216" spans="1:5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row>
    <row r="217" spans="1:5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row>
    <row r="218" spans="1:5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row>
    <row r="219" spans="1:5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row>
    <row r="220" spans="1:5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row>
    <row r="221" spans="1:5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row>
    <row r="222" spans="1:5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row>
    <row r="223" spans="1:5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row>
    <row r="224" spans="1:5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row>
    <row r="225" spans="1:5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row>
    <row r="226" spans="1:55" x14ac:dyDescent="0.25">
      <c r="A226" s="2"/>
      <c r="B226" s="2"/>
      <c r="C226" s="2"/>
      <c r="D226" s="2"/>
      <c r="E226" s="2"/>
      <c r="F226" s="2"/>
      <c r="G226" s="2"/>
      <c r="H226" s="2"/>
      <c r="I226" s="2"/>
      <c r="J226" s="2"/>
      <c r="K226" s="2"/>
      <c r="L226" s="2"/>
      <c r="P226" s="2"/>
      <c r="Q226" s="2"/>
      <c r="R226" s="2"/>
      <c r="S226" s="2"/>
      <c r="T226" s="2"/>
      <c r="U226" s="2"/>
      <c r="V226" s="2"/>
      <c r="W226" s="2"/>
      <c r="X226" s="2"/>
      <c r="Y226" s="2"/>
      <c r="Z226" s="2"/>
      <c r="AA226" s="2"/>
      <c r="AB226" s="2"/>
      <c r="AC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row>
  </sheetData>
  <sortState xmlns:xlrd2="http://schemas.microsoft.com/office/spreadsheetml/2017/richdata2" ref="AQ32:AQ39">
    <sortCondition ref="AQ32"/>
  </sortState>
  <mergeCells count="161">
    <mergeCell ref="AK102:AL102"/>
    <mergeCell ref="R46:U46"/>
    <mergeCell ref="A46:E46"/>
    <mergeCell ref="F46:K46"/>
    <mergeCell ref="L46:Q46"/>
    <mergeCell ref="A50:B50"/>
    <mergeCell ref="C50:D50"/>
    <mergeCell ref="A48:B48"/>
    <mergeCell ref="G48:H48"/>
    <mergeCell ref="N48:Q48"/>
    <mergeCell ref="AK99:AM99"/>
    <mergeCell ref="AJ80:AL80"/>
    <mergeCell ref="A49:B49"/>
    <mergeCell ref="G49:H49"/>
    <mergeCell ref="N49:Q49"/>
    <mergeCell ref="I48:M48"/>
    <mergeCell ref="I49:M49"/>
    <mergeCell ref="R48:U48"/>
    <mergeCell ref="R49:U49"/>
    <mergeCell ref="T50:U50"/>
    <mergeCell ref="F45:K45"/>
    <mergeCell ref="R33:S33"/>
    <mergeCell ref="C18:E18"/>
    <mergeCell ref="S22:U22"/>
    <mergeCell ref="K20:L20"/>
    <mergeCell ref="E25:I25"/>
    <mergeCell ref="J25:N25"/>
    <mergeCell ref="Q19:R19"/>
    <mergeCell ref="S23:U23"/>
    <mergeCell ref="Q18:U18"/>
    <mergeCell ref="R35:S35"/>
    <mergeCell ref="R34:S34"/>
    <mergeCell ref="R36:S36"/>
    <mergeCell ref="C28:J28"/>
    <mergeCell ref="A45:E45"/>
    <mergeCell ref="A41:B41"/>
    <mergeCell ref="C25:D25"/>
    <mergeCell ref="A25:B25"/>
    <mergeCell ref="M41:P41"/>
    <mergeCell ref="C24:D24"/>
    <mergeCell ref="A23:B23"/>
    <mergeCell ref="O24:R24"/>
    <mergeCell ref="R37:S37"/>
    <mergeCell ref="R30:S30"/>
    <mergeCell ref="O28:P28"/>
    <mergeCell ref="R38:S38"/>
    <mergeCell ref="Q41:U41"/>
    <mergeCell ref="C41:L41"/>
    <mergeCell ref="A42:U43"/>
    <mergeCell ref="R31:S31"/>
    <mergeCell ref="K28:N28"/>
    <mergeCell ref="I26:J26"/>
    <mergeCell ref="A26:B26"/>
    <mergeCell ref="Q28:U28"/>
    <mergeCell ref="V25:X25"/>
    <mergeCell ref="AJ24:AL24"/>
    <mergeCell ref="AJ44:AL44"/>
    <mergeCell ref="C26:D26"/>
    <mergeCell ref="E23:I24"/>
    <mergeCell ref="J23:N24"/>
    <mergeCell ref="S19:T19"/>
    <mergeCell ref="Q20:R20"/>
    <mergeCell ref="M21:P21"/>
    <mergeCell ref="E22:I22"/>
    <mergeCell ref="A22:C22"/>
    <mergeCell ref="C21:F21"/>
    <mergeCell ref="G19:J21"/>
    <mergeCell ref="F26:H26"/>
    <mergeCell ref="C19:E19"/>
    <mergeCell ref="O23:R23"/>
    <mergeCell ref="K21:L21"/>
    <mergeCell ref="S24:U24"/>
    <mergeCell ref="S25:U25"/>
    <mergeCell ref="Q39:S39"/>
    <mergeCell ref="A24:B24"/>
    <mergeCell ref="Q21:U21"/>
    <mergeCell ref="R44:U44"/>
    <mergeCell ref="K19:L19"/>
    <mergeCell ref="O22:R22"/>
    <mergeCell ref="J22:N22"/>
    <mergeCell ref="O25:R25"/>
    <mergeCell ref="S15:T16"/>
    <mergeCell ref="Q15:R16"/>
    <mergeCell ref="A14:U14"/>
    <mergeCell ref="G18:J18"/>
    <mergeCell ref="A15:B16"/>
    <mergeCell ref="A18:B21"/>
    <mergeCell ref="A17:T17"/>
    <mergeCell ref="K18:O18"/>
    <mergeCell ref="E15:G16"/>
    <mergeCell ref="S20:T20"/>
    <mergeCell ref="C23:D23"/>
    <mergeCell ref="C7:M7"/>
    <mergeCell ref="N7:P7"/>
    <mergeCell ref="N8:P8"/>
    <mergeCell ref="K11:M11"/>
    <mergeCell ref="Q4:R4"/>
    <mergeCell ref="C8:M8"/>
    <mergeCell ref="A12:U12"/>
    <mergeCell ref="A11:B11"/>
    <mergeCell ref="C15:D16"/>
    <mergeCell ref="C11:D11"/>
    <mergeCell ref="AJ16:AL16"/>
    <mergeCell ref="T10:U10"/>
    <mergeCell ref="M15:N16"/>
    <mergeCell ref="E11:F11"/>
    <mergeCell ref="G11:J11"/>
    <mergeCell ref="K15:L16"/>
    <mergeCell ref="H15:J16"/>
    <mergeCell ref="Q11:S11"/>
    <mergeCell ref="T11:U11"/>
    <mergeCell ref="N11:P11"/>
    <mergeCell ref="V10:X10"/>
    <mergeCell ref="A1:A3"/>
    <mergeCell ref="T1:U1"/>
    <mergeCell ref="Q5:R5"/>
    <mergeCell ref="A7:B7"/>
    <mergeCell ref="A8:B8"/>
    <mergeCell ref="A10:B10"/>
    <mergeCell ref="S4:U4"/>
    <mergeCell ref="A4:B4"/>
    <mergeCell ref="A5:B5"/>
    <mergeCell ref="O5:P5"/>
    <mergeCell ref="C5:M5"/>
    <mergeCell ref="S5:U5"/>
    <mergeCell ref="T2:U2"/>
    <mergeCell ref="A6:B6"/>
    <mergeCell ref="C4:M4"/>
    <mergeCell ref="O4:P4"/>
    <mergeCell ref="C6:M6"/>
    <mergeCell ref="Q10:S10"/>
    <mergeCell ref="C10:J10"/>
    <mergeCell ref="R1:S3"/>
    <mergeCell ref="K10:P10"/>
    <mergeCell ref="O6:P6"/>
    <mergeCell ref="Q6:R6"/>
    <mergeCell ref="S6:U6"/>
    <mergeCell ref="AN75:AP75"/>
    <mergeCell ref="AM16:AO16"/>
    <mergeCell ref="C1:Q2"/>
    <mergeCell ref="Q8:T8"/>
    <mergeCell ref="C3:Q3"/>
    <mergeCell ref="Q7:T7"/>
    <mergeCell ref="AK95:AM95"/>
    <mergeCell ref="O15:P16"/>
    <mergeCell ref="M19:P19"/>
    <mergeCell ref="M20:P20"/>
    <mergeCell ref="R45:U45"/>
    <mergeCell ref="AM24:AO24"/>
    <mergeCell ref="AJ30:AL30"/>
    <mergeCell ref="AM30:AO30"/>
    <mergeCell ref="C20:F20"/>
    <mergeCell ref="R32:S32"/>
    <mergeCell ref="Q40:U40"/>
    <mergeCell ref="R26:S26"/>
    <mergeCell ref="O26:Q26"/>
    <mergeCell ref="K26:M26"/>
    <mergeCell ref="T26:U26"/>
    <mergeCell ref="AJ38:AL38"/>
    <mergeCell ref="AJ4:AL4"/>
    <mergeCell ref="AM4:AO4"/>
  </mergeCells>
  <conditionalFormatting sqref="C7">
    <cfRule type="expression" dxfId="54" priority="125">
      <formula>($A$7="cpf")</formula>
    </cfRule>
    <cfRule type="expression" dxfId="53" priority="146">
      <formula>($A$7="cnpj")</formula>
    </cfRule>
    <cfRule type="expression" dxfId="52" priority="145">
      <formula>($A$7="cpf")</formula>
    </cfRule>
    <cfRule type="expression" dxfId="51" priority="123">
      <formula>($A$7="cnpj")</formula>
    </cfRule>
    <cfRule type="expression" dxfId="50" priority="124">
      <formula>($A$7="cfp")</formula>
    </cfRule>
  </conditionalFormatting>
  <conditionalFormatting sqref="C23:C26">
    <cfRule type="containsBlanks" dxfId="49" priority="6">
      <formula>LEN(TRIM(C23))=0</formula>
    </cfRule>
  </conditionalFormatting>
  <conditionalFormatting sqref="C11:D11">
    <cfRule type="containsBlanks" dxfId="48" priority="7">
      <formula>LEN(TRIM(C11))=0</formula>
    </cfRule>
  </conditionalFormatting>
  <conditionalFormatting sqref="C26:D26">
    <cfRule type="expression" dxfId="47" priority="5">
      <formula>($A$26="PROGRAMADO")</formula>
    </cfRule>
  </conditionalFormatting>
  <conditionalFormatting sqref="C41:L41">
    <cfRule type="expression" dxfId="46" priority="127">
      <formula>($U$20="sim")</formula>
    </cfRule>
  </conditionalFormatting>
  <conditionalFormatting sqref="C5:M6">
    <cfRule type="containsBlanks" dxfId="45" priority="152">
      <formula>LEN(TRIM(C5))=0</formula>
    </cfRule>
    <cfRule type="containsBlanks" dxfId="44" priority="149">
      <formula>LEN(TRIM(C5))=0</formula>
    </cfRule>
  </conditionalFormatting>
  <conditionalFormatting sqref="C1:Q2">
    <cfRule type="expression" dxfId="43" priority="333">
      <formula>#REF!&lt;$X$3</formula>
    </cfRule>
  </conditionalFormatting>
  <conditionalFormatting sqref="E25 J25">
    <cfRule type="expression" dxfId="42" priority="100">
      <formula>NOT($E$23="Dupla densidade")</formula>
    </cfRule>
  </conditionalFormatting>
  <conditionalFormatting sqref="E15:G16 K15:L16">
    <cfRule type="expression" dxfId="41" priority="329">
      <formula>#REF!&lt;$X$3</formula>
    </cfRule>
    <cfRule type="expression" dxfId="40" priority="328">
      <formula>$T$10=""</formula>
    </cfRule>
    <cfRule type="expression" dxfId="39" priority="327">
      <formula>$S$25=""</formula>
    </cfRule>
  </conditionalFormatting>
  <conditionalFormatting sqref="E15:G16 O15:P16">
    <cfRule type="expression" dxfId="38" priority="285">
      <formula>$S$23="galão"</formula>
    </cfRule>
  </conditionalFormatting>
  <conditionalFormatting sqref="E26:Q26">
    <cfRule type="expression" dxfId="37" priority="102">
      <formula>($A$26="Previsão de Entrega")</formula>
    </cfRule>
  </conditionalFormatting>
  <conditionalFormatting sqref="K10:P10">
    <cfRule type="expression" dxfId="36" priority="50">
      <formula>$K$10="Dinheiro"</formula>
    </cfRule>
    <cfRule type="expression" dxfId="35" priority="57">
      <formula>$K$10="Consultar Serasa"</formula>
    </cfRule>
  </conditionalFormatting>
  <conditionalFormatting sqref="M20:P20">
    <cfRule type="expression" dxfId="27" priority="78">
      <formula>$S$23="GALAO"</formula>
    </cfRule>
  </conditionalFormatting>
  <conditionalFormatting sqref="O25:O26 F26 K26 E25 J25 T2 U3 C4 O4:O5 S4:U6 P5 C6:E6 G6:J6 M6 O6:P6 N7 A7:C8 Q7:Q8 C10 T10:T11 G11:J11 N11 U16 M19:P19 G19:J21 E23 J23 O23 S23 B28 O28:P28 Q41:U41">
    <cfRule type="containsBlanks" dxfId="26" priority="148">
      <formula>LEN(TRIM(A2))=0</formula>
    </cfRule>
  </conditionalFormatting>
  <conditionalFormatting sqref="O15:P16">
    <cfRule type="expression" dxfId="25" priority="326">
      <formula>#REF!&lt;$X$3</formula>
    </cfRule>
    <cfRule type="expression" dxfId="24" priority="323">
      <formula>$S$25=""</formula>
    </cfRule>
    <cfRule type="expression" dxfId="23" priority="324">
      <formula>$T$10=""</formula>
    </cfRule>
    <cfRule type="expression" dxfId="22" priority="325">
      <formula>$S$23="GALAO"</formula>
    </cfRule>
  </conditionalFormatting>
  <conditionalFormatting sqref="Q20:R20">
    <cfRule type="notContainsBlanks" dxfId="21" priority="120">
      <formula>LEN(TRIM(Q20))&gt;0</formula>
    </cfRule>
    <cfRule type="expression" dxfId="20" priority="119">
      <formula>($Q$19="")</formula>
    </cfRule>
    <cfRule type="expression" dxfId="19" priority="121">
      <formula>($Q$19="segundos")</formula>
    </cfRule>
    <cfRule type="containsBlanks" dxfId="18" priority="143">
      <formula>LEN(TRIM(Q20))=0</formula>
    </cfRule>
  </conditionalFormatting>
  <conditionalFormatting sqref="Q20:T20">
    <cfRule type="containsBlanks" dxfId="17" priority="141">
      <formula>LEN(TRIM(Q20))=0</formula>
    </cfRule>
    <cfRule type="containsBlanks" dxfId="16" priority="147">
      <formula>LEN(TRIM(Q20))=0</formula>
    </cfRule>
  </conditionalFormatting>
  <conditionalFormatting sqref="R30:S38">
    <cfRule type="expression" dxfId="15" priority="9">
      <formula>$O$28="SIM"</formula>
    </cfRule>
  </conditionalFormatting>
  <conditionalFormatting sqref="S15:T16">
    <cfRule type="expression" dxfId="14" priority="318">
      <formula>$S$25=""</formula>
    </cfRule>
    <cfRule type="expression" dxfId="13" priority="319">
      <formula>$T$10=""</formula>
    </cfRule>
    <cfRule type="expression" dxfId="12" priority="320">
      <formula>#REF!&lt;$X$3</formula>
    </cfRule>
    <cfRule type="containsText" dxfId="11" priority="321" operator="containsText" text="VER TABELA">
      <formula>NOT(ISERROR(SEARCH("VER TABELA",S15)))</formula>
    </cfRule>
    <cfRule type="containsText" dxfId="10" priority="322" operator="containsText" text="VER SEGUNDOS">
      <formula>NOT(ISERROR(SEARCH("VER SEGUNDOS",S15)))</formula>
    </cfRule>
  </conditionalFormatting>
  <conditionalFormatting sqref="S25:U25">
    <cfRule type="containsBlanks" dxfId="9" priority="96">
      <formula>LEN(TRIM(S25))=0</formula>
    </cfRule>
    <cfRule type="expression" dxfId="8" priority="97">
      <formula>($U$20="sim")</formula>
    </cfRule>
  </conditionalFormatting>
  <conditionalFormatting sqref="U8">
    <cfRule type="containsBlanks" dxfId="7" priority="67">
      <formula>LEN(TRIM(U8))=0</formula>
    </cfRule>
  </conditionalFormatting>
  <conditionalFormatting sqref="U17">
    <cfRule type="expression" dxfId="6" priority="2">
      <formula>$M$19&lt;300</formula>
    </cfRule>
  </conditionalFormatting>
  <conditionalFormatting sqref="U20">
    <cfRule type="expression" dxfId="5" priority="128">
      <formula>($U$20="sim")</formula>
    </cfRule>
    <cfRule type="containsBlanks" dxfId="4" priority="129">
      <formula>LEN(TRIM(U20))=0</formula>
    </cfRule>
  </conditionalFormatting>
  <conditionalFormatting sqref="U39">
    <cfRule type="expression" dxfId="3" priority="8">
      <formula>$E$23="Dupla densidade"</formula>
    </cfRule>
  </conditionalFormatting>
  <conditionalFormatting sqref="V30 V31:W38">
    <cfRule type="expression" dxfId="2" priority="1">
      <formula>$O$28="SIM"</formula>
    </cfRule>
  </conditionalFormatting>
  <conditionalFormatting sqref="V10:X10">
    <cfRule type="expression" dxfId="1" priority="51">
      <formula>$T$10=""</formula>
    </cfRule>
  </conditionalFormatting>
  <conditionalFormatting sqref="V25:X25">
    <cfRule type="expression" dxfId="0" priority="48">
      <formula>$S$25=""</formula>
    </cfRule>
  </conditionalFormatting>
  <dataValidations count="29">
    <dataValidation type="list" allowBlank="1" showInputMessage="1" showErrorMessage="1" sqref="O25" xr:uid="{00000000-0002-0000-0000-000000000000}">
      <formula1>$AK$57:$AK$64</formula1>
    </dataValidation>
    <dataValidation type="list" allowBlank="1" showInputMessage="1" showErrorMessage="1" sqref="J25" xr:uid="{00000000-0002-0000-0000-000001000000}">
      <formula1>$AN$103:$AN$105</formula1>
    </dataValidation>
    <dataValidation type="list" allowBlank="1" showInputMessage="1" showErrorMessage="1" sqref="E25" xr:uid="{00000000-0002-0000-0000-000002000000}">
      <formula1>$AN$46</formula1>
    </dataValidation>
    <dataValidation type="list" allowBlank="1" showInputMessage="1" showErrorMessage="1" sqref="T11" xr:uid="{00000000-0002-0000-0000-000003000000}">
      <formula1>$AK$66:$AK$72</formula1>
    </dataValidation>
    <dataValidation type="list" allowBlank="1" showInputMessage="1" showErrorMessage="1" sqref="N11" xr:uid="{00000000-0002-0000-0000-000004000000}">
      <formula1>$AK$31:$AK$35</formula1>
    </dataValidation>
    <dataValidation type="list" allowBlank="1" showInputMessage="1" showErrorMessage="1" sqref="N13" xr:uid="{00000000-0002-0000-0000-000005000000}">
      <formula1>$AK$17:$AK$18</formula1>
    </dataValidation>
    <dataValidation type="list" allowBlank="1" showInputMessage="1" showErrorMessage="1" sqref="U15" xr:uid="{00000000-0002-0000-0000-000006000000}">
      <formula1>$BK$7:$BK$8</formula1>
    </dataValidation>
    <dataValidation type="list" allowBlank="1" showInputMessage="1" showErrorMessage="1" sqref="N7" xr:uid="{00000000-0002-0000-0000-000007000000}">
      <formula1>$AN$5:$AN$6</formula1>
    </dataValidation>
    <dataValidation type="list" allowBlank="1" showInputMessage="1" showErrorMessage="1" sqref="A7:B7" xr:uid="{00000000-0002-0000-0000-000008000000}">
      <formula1>$AK$5:$AK$6</formula1>
    </dataValidation>
    <dataValidation type="list" allowBlank="1" showInputMessage="1" showErrorMessage="1" sqref="Q20:R20" xr:uid="{00000000-0002-0000-0000-000009000000}">
      <formula1>$AQ$53:$AQ$91</formula1>
    </dataValidation>
    <dataValidation type="list" allowBlank="1" showInputMessage="1" showErrorMessage="1" sqref="S20:T20" xr:uid="{00000000-0002-0000-0000-00000A000000}">
      <formula1>$AK$96:$AK$99</formula1>
    </dataValidation>
    <dataValidation type="list" allowBlank="1" showInputMessage="1" showErrorMessage="1" sqref="O28:P28 U20 B28" xr:uid="{00000000-0002-0000-0000-00000B000000}">
      <formula1>$AK$25:$AK$26</formula1>
    </dataValidation>
    <dataValidation type="list" allowBlank="1" showInputMessage="1" showErrorMessage="1" sqref="K40:P40" xr:uid="{00000000-0002-0000-0000-00000C000000}">
      <formula1>$AM$39:$AM$40</formula1>
    </dataValidation>
    <dataValidation type="list" allowBlank="1" showInputMessage="1" showErrorMessage="1" sqref="T10:U10" xr:uid="{00000000-0002-0000-0000-00000D000000}">
      <formula1>$AN$17:$AN$20</formula1>
    </dataValidation>
    <dataValidation type="list" allowBlank="1" showInputMessage="1" showErrorMessage="1" sqref="A26:B26" xr:uid="{00000000-0002-0000-0000-00000E000000}">
      <formula1>$AK$100:$AK$101</formula1>
    </dataValidation>
    <dataValidation type="list" allowBlank="1" showInputMessage="1" showErrorMessage="1" sqref="G19:J21" xr:uid="{00000000-0002-0000-0000-00000F000000}">
      <formula1>$AK$17:$AK$19</formula1>
    </dataValidation>
    <dataValidation type="list" allowBlank="1" showInputMessage="1" showErrorMessage="1" sqref="O23:R23" xr:uid="{00000000-0002-0000-0000-000010000000}">
      <formula1>$AU$54:$AU$128</formula1>
    </dataValidation>
    <dataValidation type="list" allowBlank="1" showInputMessage="1" showErrorMessage="1" sqref="J23:N24" xr:uid="{00000000-0002-0000-0000-000011000000}">
      <formula1>$AK$103:$AK$118</formula1>
    </dataValidation>
    <dataValidation type="date" operator="greaterThan" allowBlank="1" showErrorMessage="1" errorTitle="ERRO!" error="DATA INVALIDA" promptTitle="ERRO!" prompt="DATA INVALIDA" sqref="O26:Q26" xr:uid="{00000000-0002-0000-0000-000012000000}">
      <formula1>C26</formula1>
    </dataValidation>
    <dataValidation type="list" allowBlank="1" showInputMessage="1" showErrorMessage="1" sqref="Q41:U41" xr:uid="{00000000-0002-0000-0000-000013000000}">
      <formula1>$AQ$32:$AQ$39</formula1>
    </dataValidation>
    <dataValidation type="list" allowBlank="1" showInputMessage="1" showErrorMessage="1" sqref="S23:U23" xr:uid="{00000000-0002-0000-0000-000014000000}">
      <formula1>nome_cortes</formula1>
    </dataValidation>
    <dataValidation type="list" allowBlank="1" showInputMessage="1" showErrorMessage="1" sqref="C10" xr:uid="{00000000-0002-0000-0000-000015000000}">
      <formula1>$AO$76:$AO$79</formula1>
    </dataValidation>
    <dataValidation type="list" allowBlank="1" showInputMessage="1" showErrorMessage="1" sqref="C24" xr:uid="{00000000-0002-0000-0000-000016000000}">
      <formula1>$AO$58:$AO$72</formula1>
    </dataValidation>
    <dataValidation type="list" showInputMessage="1" showErrorMessage="1" sqref="E23:I24 AD95" xr:uid="{00000000-0002-0000-0000-000017000000}">
      <formula1>$AN$45:$AN$52</formula1>
    </dataValidation>
    <dataValidation type="date" operator="greaterThan" allowBlank="1" showErrorMessage="1" errorTitle="ERRO!" error="DATA INVALIDA" promptTitle="ERRO!" prompt="DATA INVALIDA" sqref="F26:H26" xr:uid="{00000000-0002-0000-0000-000018000000}">
      <formula1>C26</formula1>
    </dataValidation>
    <dataValidation type="date" operator="greaterThan" allowBlank="1" showErrorMessage="1" errorTitle="ERRO!" error="DATA INVALIDA" promptTitle="ERRO!" prompt="DATA INVALIDA" sqref="K26:M26" xr:uid="{00000000-0002-0000-0000-000019000000}">
      <formula1>C26</formula1>
    </dataValidation>
    <dataValidation type="list" allowBlank="1" showInputMessage="1" showErrorMessage="1" sqref="U3" xr:uid="{00000000-0002-0000-0000-00001A000000}">
      <formula1>"01,02,03,04,05,06,07,08,09,10,11,12,13,14,15,16,17,18,19,20,21,22,23,24,25,26,27,28,29,30,31,32,33,34,35,36,37,38,39,40,41,42,43,44,45,46,47,48,49,50"</formula1>
    </dataValidation>
    <dataValidation type="list" errorStyle="warning" allowBlank="1" showInputMessage="1" showErrorMessage="1" errorTitle="Campo Obrigatorio" error="campo obrigatrio" sqref="S25:U25" xr:uid="{00000000-0002-0000-0000-00001B000000}">
      <formula1>$AK$25:$AK$26</formula1>
    </dataValidation>
    <dataValidation type="list" allowBlank="1" showInputMessage="1" showErrorMessage="1" sqref="AD48" xr:uid="{00000000-0002-0000-0000-00001C000000}">
      <formula1>lista_teste</formula1>
    </dataValidation>
  </dataValidations>
  <pageMargins left="0.23622047244094491" right="0.23622047244094491" top="0.39370078740157483" bottom="0.35433070866141736" header="0.31496062992125984" footer="0"/>
  <pageSetup paperSize="9" scale="110" fitToWidth="0" fitToHeight="0" orientation="portrait" r:id="rId1"/>
  <colBreaks count="1" manualBreakCount="1">
    <brk id="21" max="1048575" man="1"/>
  </colBreaks>
  <drawing r:id="rId2"/>
  <legacyDrawing r:id="rId3"/>
  <picture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AK49"/>
  <sheetViews>
    <sheetView topLeftCell="A11" workbookViewId="0">
      <selection activeCell="Q33" sqref="Q33"/>
    </sheetView>
  </sheetViews>
  <sheetFormatPr defaultRowHeight="15" x14ac:dyDescent="0.25"/>
  <cols>
    <col min="1" max="1" width="9.140625" customWidth="1"/>
    <col min="7" max="7" width="16" customWidth="1"/>
    <col min="8" max="8" width="11.42578125" customWidth="1"/>
    <col min="11" max="11" width="10.85546875" customWidth="1"/>
    <col min="13" max="13" width="9" customWidth="1"/>
    <col min="15" max="15" width="12" customWidth="1"/>
    <col min="16" max="16" width="13.7109375" customWidth="1"/>
    <col min="17" max="17" width="11.85546875" customWidth="1"/>
    <col min="34" max="34" width="11" customWidth="1"/>
  </cols>
  <sheetData>
    <row r="1" spans="1:35" ht="31.5" x14ac:dyDescent="0.5">
      <c r="A1" s="384" t="s">
        <v>0</v>
      </c>
      <c r="B1" s="384"/>
      <c r="C1" s="384"/>
      <c r="D1" s="384"/>
      <c r="E1" s="384"/>
      <c r="F1" s="384"/>
      <c r="G1" s="384"/>
      <c r="H1" s="384"/>
      <c r="I1" s="384"/>
      <c r="J1" s="384"/>
      <c r="K1" s="384"/>
      <c r="L1" s="384"/>
      <c r="M1" s="384"/>
      <c r="N1" s="384"/>
      <c r="O1" s="384"/>
    </row>
    <row r="2" spans="1:35" ht="18.75" x14ac:dyDescent="0.3">
      <c r="A2" s="385" t="s">
        <v>1</v>
      </c>
      <c r="B2" s="385"/>
      <c r="C2" s="385"/>
      <c r="D2" s="385"/>
      <c r="E2" s="385"/>
      <c r="G2" s="385" t="s">
        <v>25</v>
      </c>
      <c r="H2" s="385"/>
      <c r="I2" s="385"/>
      <c r="J2" s="385"/>
      <c r="K2" s="385"/>
      <c r="L2" s="376" t="s">
        <v>280</v>
      </c>
      <c r="M2" s="376"/>
      <c r="N2" s="376"/>
      <c r="O2" s="376" t="s">
        <v>281</v>
      </c>
      <c r="P2" s="376"/>
      <c r="Q2" s="376"/>
      <c r="R2" s="376" t="s">
        <v>282</v>
      </c>
      <c r="S2" s="376"/>
      <c r="T2" s="376"/>
      <c r="U2" s="376" t="s">
        <v>283</v>
      </c>
      <c r="V2" s="376"/>
      <c r="W2" s="376"/>
      <c r="X2" s="376" t="s">
        <v>284</v>
      </c>
      <c r="Y2" s="376"/>
      <c r="Z2" s="376"/>
      <c r="AA2" s="376" t="s">
        <v>285</v>
      </c>
      <c r="AB2" s="376"/>
      <c r="AC2" s="376"/>
      <c r="AD2" s="376" t="s">
        <v>286</v>
      </c>
      <c r="AE2" s="376"/>
      <c r="AF2" s="376"/>
      <c r="AG2" s="376" t="s">
        <v>287</v>
      </c>
      <c r="AH2" s="376"/>
      <c r="AI2" s="376"/>
    </row>
    <row r="3" spans="1:35" x14ac:dyDescent="0.25">
      <c r="A3" s="4" t="s">
        <v>2</v>
      </c>
      <c r="B3" s="4" t="s">
        <v>3</v>
      </c>
      <c r="C3" s="4" t="s">
        <v>4</v>
      </c>
      <c r="D3" s="4" t="s">
        <v>5</v>
      </c>
      <c r="E3" s="4" t="s">
        <v>6</v>
      </c>
      <c r="H3" s="8"/>
      <c r="I3" s="391" t="s">
        <v>54</v>
      </c>
      <c r="J3" s="391"/>
      <c r="K3" s="391"/>
      <c r="L3" s="392" t="s">
        <v>19</v>
      </c>
      <c r="M3" s="392"/>
      <c r="N3" s="392"/>
      <c r="O3" s="393" t="s">
        <v>17</v>
      </c>
      <c r="P3" s="393"/>
      <c r="Q3" s="393"/>
      <c r="R3" s="394" t="s">
        <v>18</v>
      </c>
      <c r="S3" s="394"/>
      <c r="T3" s="394"/>
      <c r="U3" s="388" t="s">
        <v>272</v>
      </c>
      <c r="V3" s="389"/>
      <c r="W3" s="390"/>
      <c r="X3" s="395" t="s">
        <v>21</v>
      </c>
      <c r="Y3" s="396"/>
      <c r="Z3" s="397"/>
      <c r="AA3" s="398" t="s">
        <v>20</v>
      </c>
      <c r="AB3" s="398"/>
      <c r="AC3" s="398"/>
      <c r="AD3" s="387" t="s">
        <v>271</v>
      </c>
      <c r="AE3" s="387"/>
      <c r="AF3" s="387"/>
      <c r="AG3" s="386" t="s">
        <v>182</v>
      </c>
      <c r="AH3" s="386"/>
      <c r="AI3" s="386"/>
    </row>
    <row r="4" spans="1:35" x14ac:dyDescent="0.25">
      <c r="A4" s="5"/>
      <c r="B4" s="5">
        <v>300</v>
      </c>
      <c r="C4" s="5">
        <v>20.399999999999999</v>
      </c>
      <c r="D4" s="5">
        <v>22.5</v>
      </c>
      <c r="E4" s="5">
        <v>26.84</v>
      </c>
      <c r="G4" s="4" t="s">
        <v>2</v>
      </c>
      <c r="H4" s="9" t="s">
        <v>13</v>
      </c>
      <c r="I4" s="75" t="s">
        <v>4</v>
      </c>
      <c r="J4" s="75" t="s">
        <v>5</v>
      </c>
      <c r="K4" s="75" t="s">
        <v>6</v>
      </c>
      <c r="L4" s="76" t="s">
        <v>4</v>
      </c>
      <c r="M4" s="76" t="s">
        <v>5</v>
      </c>
      <c r="N4" s="76" t="s">
        <v>6</v>
      </c>
      <c r="O4" s="77" t="s">
        <v>4</v>
      </c>
      <c r="P4" s="77" t="s">
        <v>5</v>
      </c>
      <c r="Q4" s="77" t="s">
        <v>6</v>
      </c>
      <c r="R4" s="79" t="s">
        <v>4</v>
      </c>
      <c r="S4" s="79" t="s">
        <v>5</v>
      </c>
      <c r="T4" s="79" t="s">
        <v>6</v>
      </c>
      <c r="U4" s="87" t="s">
        <v>4</v>
      </c>
      <c r="V4" s="87" t="s">
        <v>5</v>
      </c>
      <c r="W4" s="87" t="s">
        <v>6</v>
      </c>
      <c r="X4" s="80" t="s">
        <v>4</v>
      </c>
      <c r="Y4" s="80" t="s">
        <v>5</v>
      </c>
      <c r="Z4" s="80" t="s">
        <v>6</v>
      </c>
      <c r="AA4" s="83" t="s">
        <v>4</v>
      </c>
      <c r="AB4" s="83" t="s">
        <v>5</v>
      </c>
      <c r="AC4" s="83" t="s">
        <v>6</v>
      </c>
      <c r="AD4" s="86" t="s">
        <v>4</v>
      </c>
      <c r="AE4" s="86" t="s">
        <v>5</v>
      </c>
      <c r="AF4" s="86" t="s">
        <v>6</v>
      </c>
      <c r="AG4" s="93" t="s">
        <v>4</v>
      </c>
      <c r="AH4" s="93" t="s">
        <v>5</v>
      </c>
      <c r="AI4" s="93" t="s">
        <v>6</v>
      </c>
    </row>
    <row r="5" spans="1:35" x14ac:dyDescent="0.25">
      <c r="A5" s="5"/>
      <c r="B5" s="5">
        <v>500</v>
      </c>
      <c r="C5" s="5">
        <v>15.69</v>
      </c>
      <c r="D5" s="5">
        <v>17.29</v>
      </c>
      <c r="E5" s="5">
        <v>20.64</v>
      </c>
      <c r="G5" s="5"/>
      <c r="H5" s="10">
        <v>10</v>
      </c>
      <c r="I5" s="74">
        <v>0.97</v>
      </c>
      <c r="J5" s="74">
        <v>0.96499999999999997</v>
      </c>
      <c r="K5" s="74">
        <v>0.96</v>
      </c>
      <c r="L5" s="85">
        <v>0.82299999999999995</v>
      </c>
      <c r="M5" s="85">
        <v>0.82299999999999995</v>
      </c>
      <c r="N5" s="85">
        <v>0.77400000000000002</v>
      </c>
      <c r="O5" s="78">
        <v>0.58499999999999996</v>
      </c>
      <c r="P5" s="78">
        <v>0.58499999999999996</v>
      </c>
      <c r="Q5" s="78">
        <v>0.58499999999999996</v>
      </c>
      <c r="R5" s="101">
        <v>0.52</v>
      </c>
      <c r="S5" s="101">
        <v>0.52</v>
      </c>
      <c r="T5" s="101">
        <v>0.52</v>
      </c>
      <c r="U5" s="88">
        <v>0.497</v>
      </c>
      <c r="V5" s="88">
        <v>0.497</v>
      </c>
      <c r="W5" s="88">
        <v>0.497</v>
      </c>
      <c r="X5" s="81">
        <v>0.496</v>
      </c>
      <c r="Y5" s="81">
        <v>0.496</v>
      </c>
      <c r="Z5" s="81">
        <v>0.496</v>
      </c>
      <c r="AA5" s="82">
        <v>0.496</v>
      </c>
      <c r="AB5" s="82">
        <v>0.496</v>
      </c>
      <c r="AC5" s="82">
        <v>0.496</v>
      </c>
      <c r="AD5" s="84">
        <v>0.317</v>
      </c>
      <c r="AE5" s="84">
        <v>0.317</v>
      </c>
      <c r="AF5" s="84">
        <v>0.317</v>
      </c>
      <c r="AG5" s="94">
        <v>0.31</v>
      </c>
      <c r="AH5" s="94">
        <v>0.31</v>
      </c>
      <c r="AI5" s="94">
        <v>0.3</v>
      </c>
    </row>
    <row r="6" spans="1:35" x14ac:dyDescent="0.25">
      <c r="A6" s="5"/>
      <c r="B6" s="5">
        <v>1000</v>
      </c>
      <c r="C6" s="5">
        <v>10.44</v>
      </c>
      <c r="D6" s="5">
        <v>11.48</v>
      </c>
      <c r="E6" s="5">
        <v>14.36</v>
      </c>
      <c r="G6" s="5"/>
      <c r="H6" s="10">
        <v>12</v>
      </c>
      <c r="I6" s="74">
        <v>0.97</v>
      </c>
      <c r="J6" s="74">
        <v>0.96499999999999997</v>
      </c>
      <c r="K6" s="74">
        <v>0.96</v>
      </c>
      <c r="L6" s="85">
        <v>0.82299999999999995</v>
      </c>
      <c r="M6" s="85">
        <v>0.82299999999999995</v>
      </c>
      <c r="N6" s="85">
        <v>0.77400000000000002</v>
      </c>
      <c r="O6" s="78">
        <v>0.58499999999999996</v>
      </c>
      <c r="P6" s="78">
        <v>0.58499999999999996</v>
      </c>
      <c r="Q6" s="78">
        <v>0.58499999999999996</v>
      </c>
      <c r="R6" s="101">
        <v>0.52</v>
      </c>
      <c r="S6" s="101">
        <v>0.52</v>
      </c>
      <c r="T6" s="101">
        <v>0.52</v>
      </c>
      <c r="U6" s="88">
        <v>0.497</v>
      </c>
      <c r="V6" s="88">
        <v>0.497</v>
      </c>
      <c r="W6" s="88">
        <v>0.497</v>
      </c>
      <c r="X6" s="81">
        <v>0.496</v>
      </c>
      <c r="Y6" s="81">
        <v>0.496</v>
      </c>
      <c r="Z6" s="81">
        <v>0.496</v>
      </c>
      <c r="AA6" s="82">
        <v>0.496</v>
      </c>
      <c r="AB6" s="82">
        <v>0.496</v>
      </c>
      <c r="AC6" s="82">
        <v>0.496</v>
      </c>
      <c r="AD6" s="84">
        <v>0.317</v>
      </c>
      <c r="AE6" s="84">
        <v>0.317</v>
      </c>
      <c r="AF6" s="84">
        <v>0.317</v>
      </c>
      <c r="AG6" s="94">
        <v>0.31</v>
      </c>
      <c r="AH6" s="94">
        <v>0.31</v>
      </c>
      <c r="AI6" s="94">
        <v>0.3</v>
      </c>
    </row>
    <row r="7" spans="1:35" x14ac:dyDescent="0.25">
      <c r="A7" s="5"/>
      <c r="B7" s="5">
        <v>2500</v>
      </c>
      <c r="C7" s="5">
        <v>10.11</v>
      </c>
      <c r="D7" s="5">
        <v>11.12</v>
      </c>
      <c r="E7" s="5">
        <v>13.21</v>
      </c>
      <c r="G7" s="5"/>
      <c r="H7" s="10">
        <v>15</v>
      </c>
      <c r="I7" s="74">
        <v>0.97</v>
      </c>
      <c r="J7" s="74">
        <v>0.96499999999999997</v>
      </c>
      <c r="K7" s="74">
        <v>0.96</v>
      </c>
      <c r="L7" s="85">
        <v>0.82299999999999995</v>
      </c>
      <c r="M7" s="85">
        <v>0.82299999999999995</v>
      </c>
      <c r="N7" s="85">
        <v>0.77400000000000002</v>
      </c>
      <c r="O7" s="78">
        <v>0.66600000000000004</v>
      </c>
      <c r="P7" s="78">
        <v>0.66600000000000004</v>
      </c>
      <c r="Q7" s="78">
        <v>0.66600000000000004</v>
      </c>
      <c r="R7" s="101">
        <v>0.64</v>
      </c>
      <c r="S7" s="101">
        <v>0.63</v>
      </c>
      <c r="T7" s="101">
        <v>0.62</v>
      </c>
      <c r="U7" s="88">
        <v>0.59799999999999998</v>
      </c>
      <c r="V7" s="88">
        <v>0.59799999999999998</v>
      </c>
      <c r="W7" s="88">
        <v>0.59799999999999998</v>
      </c>
      <c r="X7" s="81">
        <v>0.59699999999999998</v>
      </c>
      <c r="Y7" s="81">
        <v>0.59699999999999998</v>
      </c>
      <c r="Z7" s="81">
        <v>0.59699999999999998</v>
      </c>
      <c r="AA7" s="82">
        <v>0.59699999999999998</v>
      </c>
      <c r="AB7" s="82">
        <v>0.59699999999999998</v>
      </c>
      <c r="AC7" s="82">
        <v>0.59699999999999998</v>
      </c>
      <c r="AD7" s="84">
        <v>0.4395</v>
      </c>
      <c r="AE7" s="84">
        <v>0.4395</v>
      </c>
      <c r="AF7" s="84">
        <v>0.4395</v>
      </c>
      <c r="AG7" s="94">
        <v>0.41</v>
      </c>
      <c r="AH7" s="94">
        <v>0.41</v>
      </c>
      <c r="AI7" s="94">
        <v>0.4</v>
      </c>
    </row>
    <row r="8" spans="1:35" x14ac:dyDescent="0.25">
      <c r="A8" s="5"/>
      <c r="B8" s="5">
        <v>5000</v>
      </c>
      <c r="C8" s="5">
        <v>9.35</v>
      </c>
      <c r="D8" s="5">
        <v>10.29</v>
      </c>
      <c r="E8" s="5">
        <v>12.58</v>
      </c>
      <c r="G8" s="5"/>
      <c r="H8" s="10">
        <v>18</v>
      </c>
      <c r="I8" s="74">
        <v>0.97</v>
      </c>
      <c r="J8" s="74">
        <v>0.96499999999999997</v>
      </c>
      <c r="K8" s="74">
        <v>0.96</v>
      </c>
      <c r="L8" s="85">
        <v>0.82299999999999995</v>
      </c>
      <c r="M8" s="85">
        <v>0.82299999999999995</v>
      </c>
      <c r="N8" s="85">
        <v>0.77400000000000002</v>
      </c>
      <c r="O8" s="78">
        <v>0.71599999999999997</v>
      </c>
      <c r="P8" s="78">
        <v>0.71599999999999997</v>
      </c>
      <c r="Q8" s="78">
        <v>0.71599999999999997</v>
      </c>
      <c r="R8" s="101">
        <v>0.69</v>
      </c>
      <c r="S8" s="101">
        <v>0.68</v>
      </c>
      <c r="T8" s="101">
        <v>0.67</v>
      </c>
      <c r="U8" s="88">
        <v>0.65500000000000003</v>
      </c>
      <c r="V8" s="88">
        <v>0.65500000000000003</v>
      </c>
      <c r="W8" s="88">
        <v>0.65500000000000003</v>
      </c>
      <c r="X8" s="81">
        <v>0.64</v>
      </c>
      <c r="Y8" s="81">
        <v>0.64</v>
      </c>
      <c r="Z8" s="81">
        <v>0.64</v>
      </c>
      <c r="AA8" s="82">
        <v>0.64</v>
      </c>
      <c r="AB8" s="82">
        <v>0.64</v>
      </c>
      <c r="AC8" s="82">
        <v>0.64</v>
      </c>
      <c r="AD8" s="84">
        <v>0.51500000000000001</v>
      </c>
      <c r="AE8" s="84">
        <v>0.51500000000000001</v>
      </c>
      <c r="AF8" s="84">
        <v>0.49349999999999999</v>
      </c>
      <c r="AG8" s="94">
        <v>0.41</v>
      </c>
      <c r="AH8" s="94">
        <v>0.41</v>
      </c>
      <c r="AI8" s="94">
        <v>0.4</v>
      </c>
    </row>
    <row r="9" spans="1:35" x14ac:dyDescent="0.25">
      <c r="A9" s="5"/>
      <c r="B9" s="5">
        <v>10000</v>
      </c>
      <c r="C9" s="5">
        <v>8.39</v>
      </c>
      <c r="D9" s="5">
        <v>9.2200000000000006</v>
      </c>
      <c r="E9" s="5">
        <v>11.89</v>
      </c>
      <c r="G9" s="5"/>
      <c r="H9" s="10">
        <v>20</v>
      </c>
      <c r="I9" s="74">
        <v>0.97</v>
      </c>
      <c r="J9" s="74">
        <v>0.96499999999999997</v>
      </c>
      <c r="K9" s="74">
        <v>0.96</v>
      </c>
      <c r="L9" s="85">
        <v>0.82299999999999995</v>
      </c>
      <c r="M9" s="85">
        <v>0.82299999999999995</v>
      </c>
      <c r="N9" s="85">
        <v>0.77400000000000002</v>
      </c>
      <c r="O9" s="78">
        <v>0.73</v>
      </c>
      <c r="P9" s="78">
        <v>0.73</v>
      </c>
      <c r="Q9" s="78">
        <v>0.73</v>
      </c>
      <c r="R9" s="101">
        <v>0.72</v>
      </c>
      <c r="S9" s="101">
        <v>0.71</v>
      </c>
      <c r="T9" s="101">
        <v>0.7</v>
      </c>
      <c r="U9" s="88">
        <v>0.66</v>
      </c>
      <c r="V9" s="88">
        <v>0.66</v>
      </c>
      <c r="W9" s="88">
        <v>0.66</v>
      </c>
      <c r="X9" s="81">
        <v>0.64</v>
      </c>
      <c r="Y9" s="81">
        <v>0.64</v>
      </c>
      <c r="Z9" s="81">
        <v>0.64</v>
      </c>
      <c r="AA9" s="82">
        <v>0.64</v>
      </c>
      <c r="AB9" s="82">
        <v>0.64</v>
      </c>
      <c r="AC9" s="82">
        <v>0.64</v>
      </c>
      <c r="AD9" s="92">
        <v>0.5585</v>
      </c>
      <c r="AE9" s="84">
        <v>0.5585</v>
      </c>
      <c r="AF9" s="84">
        <v>0.52900000000000003</v>
      </c>
      <c r="AG9" s="94">
        <v>0.41</v>
      </c>
      <c r="AH9" s="94">
        <v>0.41</v>
      </c>
      <c r="AI9" s="94">
        <v>0.4</v>
      </c>
    </row>
    <row r="10" spans="1:35" x14ac:dyDescent="0.25">
      <c r="A10" s="5"/>
      <c r="B10" s="5">
        <v>15000</v>
      </c>
      <c r="C10" s="5">
        <v>8.0399999999999991</v>
      </c>
      <c r="D10" s="5">
        <v>8.84</v>
      </c>
      <c r="E10" s="5">
        <v>11.35</v>
      </c>
      <c r="G10" s="5"/>
      <c r="H10" s="10">
        <v>21</v>
      </c>
      <c r="I10" s="74">
        <v>0.97</v>
      </c>
      <c r="J10" s="74">
        <v>0.96499999999999997</v>
      </c>
      <c r="K10" s="74">
        <v>0.96</v>
      </c>
      <c r="L10" s="85">
        <v>0.82299999999999995</v>
      </c>
      <c r="M10" s="85">
        <v>0.82299999999999995</v>
      </c>
      <c r="N10" s="85">
        <v>0.77400000000000002</v>
      </c>
      <c r="O10" s="78">
        <v>0.73</v>
      </c>
      <c r="P10" s="78">
        <v>0.73</v>
      </c>
      <c r="Q10" s="78">
        <v>0.73</v>
      </c>
      <c r="R10" s="101">
        <v>0.72</v>
      </c>
      <c r="S10" s="101">
        <v>0.71</v>
      </c>
      <c r="T10" s="101">
        <v>0.68</v>
      </c>
      <c r="U10" s="88">
        <v>0.65500000000000003</v>
      </c>
      <c r="V10" s="88">
        <v>0.65500000000000003</v>
      </c>
      <c r="W10" s="88">
        <v>0.65500000000000003</v>
      </c>
      <c r="X10" s="81">
        <v>0.64</v>
      </c>
      <c r="Y10" s="81">
        <v>0.64</v>
      </c>
      <c r="Z10" s="81">
        <v>0.64</v>
      </c>
      <c r="AA10" s="82">
        <v>0.64</v>
      </c>
      <c r="AB10" s="82">
        <v>0.64</v>
      </c>
      <c r="AC10" s="82">
        <v>0.64</v>
      </c>
      <c r="AD10" s="84">
        <v>0.5585</v>
      </c>
      <c r="AE10" s="92">
        <v>0.5585</v>
      </c>
      <c r="AF10" s="84">
        <v>0.52900000000000003</v>
      </c>
      <c r="AG10" s="94">
        <v>0.4</v>
      </c>
      <c r="AH10" s="94">
        <v>0.4</v>
      </c>
      <c r="AI10" s="94">
        <v>0.39</v>
      </c>
    </row>
    <row r="11" spans="1:35" x14ac:dyDescent="0.25">
      <c r="A11" s="5"/>
      <c r="B11" s="5">
        <v>30000</v>
      </c>
      <c r="C11" s="5">
        <v>7.72</v>
      </c>
      <c r="D11" s="5">
        <v>8.48</v>
      </c>
      <c r="E11" s="5">
        <v>10.89</v>
      </c>
      <c r="H11" s="10">
        <v>24</v>
      </c>
      <c r="I11" s="74">
        <v>0.97</v>
      </c>
      <c r="J11" s="74">
        <v>0.96499999999999997</v>
      </c>
      <c r="K11" s="74">
        <v>0.96</v>
      </c>
      <c r="L11" s="85">
        <v>0.82299999999999995</v>
      </c>
      <c r="M11" s="85">
        <v>0.82299999999999995</v>
      </c>
      <c r="N11" s="85">
        <v>0.77400000000000002</v>
      </c>
      <c r="O11" s="78">
        <v>0.82199999999999995</v>
      </c>
      <c r="P11" s="78">
        <v>0.82199999999999995</v>
      </c>
      <c r="Q11" s="78">
        <v>0.77200000000000002</v>
      </c>
      <c r="R11" s="101">
        <v>0.81</v>
      </c>
      <c r="S11" s="101">
        <v>0.8</v>
      </c>
      <c r="T11" s="101">
        <v>0.75</v>
      </c>
      <c r="U11" s="88">
        <v>0.65500000000000003</v>
      </c>
      <c r="V11" s="88">
        <v>0.65500000000000003</v>
      </c>
      <c r="W11" s="88">
        <v>0.65500000000000003</v>
      </c>
      <c r="X11" s="81">
        <v>0.64</v>
      </c>
      <c r="Y11" s="81">
        <v>0.64</v>
      </c>
      <c r="Z11" s="81">
        <v>0.64</v>
      </c>
      <c r="AA11" s="82">
        <v>0.64</v>
      </c>
      <c r="AB11" s="82">
        <v>0.64</v>
      </c>
      <c r="AC11" s="82">
        <v>0.64</v>
      </c>
      <c r="AD11" s="92">
        <v>0.62</v>
      </c>
      <c r="AE11" s="92">
        <v>0.62</v>
      </c>
      <c r="AF11" s="92">
        <v>0.62</v>
      </c>
      <c r="AG11" s="94">
        <v>0.51</v>
      </c>
      <c r="AH11" s="94">
        <v>0.51</v>
      </c>
      <c r="AI11" s="94">
        <v>0.5</v>
      </c>
    </row>
    <row r="12" spans="1:35" x14ac:dyDescent="0.25">
      <c r="G12" s="5"/>
      <c r="H12" s="10">
        <v>28</v>
      </c>
      <c r="I12" s="74">
        <v>0.97</v>
      </c>
      <c r="J12" s="74">
        <v>0.96499999999999997</v>
      </c>
      <c r="K12" s="74">
        <v>0.96</v>
      </c>
      <c r="L12" s="85">
        <v>0.82299999999999995</v>
      </c>
      <c r="M12" s="85">
        <v>0.82299999999999995</v>
      </c>
      <c r="N12" s="85">
        <v>0.77400000000000002</v>
      </c>
      <c r="O12" s="78">
        <v>0.82199999999999995</v>
      </c>
      <c r="P12" s="78">
        <v>0.82199999999999995</v>
      </c>
      <c r="Q12" s="78">
        <v>0.77400000000000002</v>
      </c>
      <c r="R12" s="101">
        <v>0.81</v>
      </c>
      <c r="S12" s="101">
        <v>0.8</v>
      </c>
      <c r="T12" s="101">
        <v>0.75</v>
      </c>
      <c r="U12" s="88">
        <v>0.73</v>
      </c>
      <c r="V12" s="88">
        <v>0.73</v>
      </c>
      <c r="W12" s="88">
        <v>0.7</v>
      </c>
      <c r="X12" s="81">
        <v>0.72</v>
      </c>
      <c r="Y12" s="81">
        <v>0.72</v>
      </c>
      <c r="Z12" s="81">
        <v>0.69</v>
      </c>
      <c r="AA12" s="82">
        <v>0.72</v>
      </c>
      <c r="AB12" s="82">
        <v>0.72</v>
      </c>
      <c r="AC12" s="82">
        <v>0.69</v>
      </c>
      <c r="AD12" s="92">
        <v>0.68</v>
      </c>
      <c r="AE12" s="92">
        <v>0.68</v>
      </c>
      <c r="AF12" s="92">
        <v>0.67</v>
      </c>
      <c r="AG12" s="94">
        <v>0.51</v>
      </c>
      <c r="AH12" s="94">
        <v>0.51</v>
      </c>
      <c r="AI12" s="94">
        <v>0.5</v>
      </c>
    </row>
    <row r="13" spans="1:35" x14ac:dyDescent="0.25">
      <c r="A13" s="382" t="s">
        <v>7</v>
      </c>
      <c r="B13" s="382"/>
      <c r="C13" s="382"/>
      <c r="D13" s="382"/>
      <c r="E13" s="382"/>
      <c r="H13" s="10">
        <v>30</v>
      </c>
      <c r="I13" s="74">
        <v>0.97</v>
      </c>
      <c r="J13" s="74">
        <v>0.96499999999999997</v>
      </c>
      <c r="K13" s="74">
        <v>0.96</v>
      </c>
      <c r="L13" s="85">
        <v>0.82299999999999995</v>
      </c>
      <c r="M13" s="85">
        <v>0.82299999999999995</v>
      </c>
      <c r="N13" s="85">
        <v>0.77400000000000002</v>
      </c>
      <c r="O13" s="78">
        <v>0.82199999999999995</v>
      </c>
      <c r="P13" s="78">
        <v>0.82199999999999995</v>
      </c>
      <c r="Q13" s="78">
        <v>0.77400000000000002</v>
      </c>
      <c r="R13" s="101">
        <v>0.81</v>
      </c>
      <c r="S13" s="101">
        <v>0.8</v>
      </c>
      <c r="T13" s="101">
        <v>0.75</v>
      </c>
      <c r="U13" s="88">
        <v>0.73</v>
      </c>
      <c r="V13" s="88">
        <v>0.73</v>
      </c>
      <c r="W13" s="88">
        <v>0.7</v>
      </c>
      <c r="X13" s="81">
        <v>0.72</v>
      </c>
      <c r="Y13" s="81">
        <v>0.72</v>
      </c>
      <c r="Z13" s="81">
        <v>0.69</v>
      </c>
      <c r="AA13" s="82">
        <v>0.72</v>
      </c>
      <c r="AB13" s="82">
        <v>0.72</v>
      </c>
      <c r="AC13" s="82">
        <v>0.69</v>
      </c>
      <c r="AD13" s="92">
        <v>0.68</v>
      </c>
      <c r="AE13" s="92">
        <v>0.68</v>
      </c>
      <c r="AF13" s="92">
        <v>0.67</v>
      </c>
      <c r="AG13" s="94">
        <v>0.51</v>
      </c>
      <c r="AH13" s="94">
        <v>0.51</v>
      </c>
      <c r="AI13" s="94">
        <v>0.5</v>
      </c>
    </row>
    <row r="14" spans="1:35" x14ac:dyDescent="0.25">
      <c r="A14" s="12" t="s">
        <v>33</v>
      </c>
      <c r="B14" s="12" t="s">
        <v>34</v>
      </c>
      <c r="C14" s="12" t="s">
        <v>35</v>
      </c>
      <c r="E14" s="12" t="s">
        <v>32</v>
      </c>
      <c r="H14" s="10">
        <v>33</v>
      </c>
      <c r="I14" s="74">
        <v>0.97</v>
      </c>
      <c r="J14" s="74">
        <v>0.96499999999999997</v>
      </c>
      <c r="K14" s="74">
        <v>0.96</v>
      </c>
      <c r="L14" s="85">
        <v>0.82299999999999995</v>
      </c>
      <c r="M14" s="85">
        <v>0.82299999999999995</v>
      </c>
      <c r="N14" s="85">
        <v>0.77400000000000002</v>
      </c>
      <c r="O14" s="78">
        <v>0.82199999999999995</v>
      </c>
      <c r="P14" s="78">
        <v>0.82199999999999995</v>
      </c>
      <c r="Q14" s="78">
        <v>0.77400000000000002</v>
      </c>
      <c r="R14" s="101">
        <v>0.81</v>
      </c>
      <c r="S14" s="101">
        <v>0.8</v>
      </c>
      <c r="T14" s="101">
        <v>0.75</v>
      </c>
      <c r="U14" s="88">
        <v>0.73</v>
      </c>
      <c r="V14" s="88">
        <v>0.73</v>
      </c>
      <c r="W14" s="88">
        <v>0.7</v>
      </c>
      <c r="X14" s="81">
        <v>0.72</v>
      </c>
      <c r="Y14" s="81">
        <v>0.72</v>
      </c>
      <c r="Z14" s="81">
        <v>0.69</v>
      </c>
      <c r="AA14" s="82">
        <v>0.72</v>
      </c>
      <c r="AB14" s="82">
        <v>0.72</v>
      </c>
      <c r="AC14" s="82">
        <v>0.69</v>
      </c>
      <c r="AD14" s="92">
        <v>0.68</v>
      </c>
      <c r="AE14" s="92">
        <v>0.68</v>
      </c>
      <c r="AF14" s="92">
        <v>0.67</v>
      </c>
      <c r="AG14" s="94">
        <v>0.51</v>
      </c>
      <c r="AH14" s="94">
        <v>0.51</v>
      </c>
      <c r="AI14" s="94">
        <v>0.5</v>
      </c>
    </row>
    <row r="15" spans="1:35" x14ac:dyDescent="0.25">
      <c r="A15" s="1">
        <f>LEN(CÁLCULO!D5)</f>
        <v>6</v>
      </c>
      <c r="B15" s="1">
        <f>VLOOKUP(C15,tab_cortes,2,FALSE)</f>
        <v>3</v>
      </c>
      <c r="C15" s="1">
        <f>LEN(CÁLCULO!D3)</f>
        <v>13</v>
      </c>
      <c r="D15">
        <f>LEN(CÁLCULO!E3)</f>
        <v>0</v>
      </c>
      <c r="E15">
        <f t="array" ref="E15">VLOOKUP(Tabela!AL56,Tabela!AL58:AM64,2,Tabela!AL58:AL64)</f>
        <v>2</v>
      </c>
      <c r="H15" s="10">
        <v>40</v>
      </c>
      <c r="I15" s="74">
        <v>0.97</v>
      </c>
      <c r="J15" s="74">
        <v>0.96499999999999997</v>
      </c>
      <c r="K15" s="74">
        <v>0.96</v>
      </c>
      <c r="L15" s="85">
        <v>0.82299999999999995</v>
      </c>
      <c r="M15" s="85">
        <v>0.82299999999999995</v>
      </c>
      <c r="N15" s="85">
        <v>0.77400000000000002</v>
      </c>
      <c r="O15" s="78">
        <v>0.82199999999999995</v>
      </c>
      <c r="P15" s="78">
        <v>0.82199999999999995</v>
      </c>
      <c r="Q15" s="78">
        <v>0.77400000000000002</v>
      </c>
      <c r="R15" s="101">
        <v>0.81</v>
      </c>
      <c r="S15" s="101">
        <v>0.8</v>
      </c>
      <c r="T15" s="101">
        <v>0.75</v>
      </c>
      <c r="U15" s="88">
        <v>0.71</v>
      </c>
      <c r="V15" s="88">
        <v>0.71</v>
      </c>
      <c r="W15" s="88">
        <v>0.7</v>
      </c>
      <c r="X15" s="81">
        <v>0.7</v>
      </c>
      <c r="Y15" s="81">
        <v>0.7</v>
      </c>
      <c r="Z15" s="81">
        <v>0.69</v>
      </c>
      <c r="AA15" s="82">
        <v>0.7</v>
      </c>
      <c r="AB15" s="82">
        <v>0.7</v>
      </c>
      <c r="AC15" s="82">
        <v>0.69</v>
      </c>
      <c r="AD15" s="92">
        <v>0.68</v>
      </c>
      <c r="AE15" s="92">
        <v>0.68</v>
      </c>
      <c r="AF15" s="92">
        <v>0.67</v>
      </c>
      <c r="AG15" s="94">
        <v>0.51</v>
      </c>
      <c r="AH15" s="94">
        <v>0.51</v>
      </c>
      <c r="AI15" s="94">
        <v>0.5</v>
      </c>
    </row>
    <row r="16" spans="1:35" x14ac:dyDescent="0.25">
      <c r="A16" s="99" t="s">
        <v>24</v>
      </c>
      <c r="B16" s="100">
        <f>VLOOKUP(24,tabela_fator,B15+VLOOKUP(A15,B19:C21,2,FALSE),FALSE)</f>
        <v>0.82299999999999995</v>
      </c>
      <c r="C16" s="5"/>
      <c r="H16" s="10">
        <v>50</v>
      </c>
      <c r="I16" s="74">
        <v>0.97</v>
      </c>
      <c r="J16" s="74">
        <v>0.96499999999999997</v>
      </c>
      <c r="K16" s="74">
        <v>0.96</v>
      </c>
      <c r="L16" s="85">
        <v>0.82299999999999995</v>
      </c>
      <c r="M16" s="85">
        <v>0.82299999999999995</v>
      </c>
      <c r="N16" s="85">
        <v>0.77400000000000002</v>
      </c>
      <c r="O16" s="78">
        <v>0.82199999999999995</v>
      </c>
      <c r="P16" s="78">
        <v>0.82199999999999995</v>
      </c>
      <c r="Q16" s="78">
        <v>0.77400000000000002</v>
      </c>
      <c r="R16" s="101">
        <v>0.81</v>
      </c>
      <c r="S16" s="101">
        <v>0.8</v>
      </c>
      <c r="T16" s="101">
        <v>0.75</v>
      </c>
      <c r="U16" s="88">
        <v>0.71</v>
      </c>
      <c r="V16" s="88">
        <v>0.71</v>
      </c>
      <c r="W16" s="88">
        <v>0.7</v>
      </c>
      <c r="X16" s="81">
        <v>0.7</v>
      </c>
      <c r="Y16" s="81">
        <v>0.7</v>
      </c>
      <c r="Z16" s="81">
        <v>0.69</v>
      </c>
      <c r="AA16" s="82">
        <v>0.7</v>
      </c>
      <c r="AB16" s="82">
        <v>0.7</v>
      </c>
      <c r="AC16" s="82">
        <v>0.69</v>
      </c>
      <c r="AD16" s="92">
        <v>0.68</v>
      </c>
      <c r="AE16" s="92">
        <v>0.68</v>
      </c>
      <c r="AF16" s="92">
        <v>0.67</v>
      </c>
      <c r="AG16" s="94">
        <v>0.51</v>
      </c>
      <c r="AH16" s="94">
        <v>0.51</v>
      </c>
      <c r="AI16" s="94">
        <v>0.5</v>
      </c>
    </row>
    <row r="17" spans="1:37" x14ac:dyDescent="0.25">
      <c r="A17" s="1">
        <f>LEN(CÁLCULO!D7)</f>
        <v>6</v>
      </c>
      <c r="B17" s="1">
        <f>VLOOKUP(Plan2!C15,tab_cortes,2,FALSE)</f>
        <v>3</v>
      </c>
      <c r="C17" s="1">
        <f>LEN(CÁLCULO!D3)</f>
        <v>13</v>
      </c>
      <c r="H17" s="10">
        <v>67</v>
      </c>
      <c r="I17" s="74">
        <v>0.97</v>
      </c>
      <c r="J17" s="74">
        <v>0.96499999999999997</v>
      </c>
      <c r="K17" s="74">
        <v>0.96</v>
      </c>
      <c r="L17" s="85">
        <v>0.82299999999999995</v>
      </c>
      <c r="M17" s="85">
        <v>0.82299999999999995</v>
      </c>
      <c r="N17" s="85">
        <v>0.77400000000000002</v>
      </c>
      <c r="O17" s="78">
        <v>0.82199999999999995</v>
      </c>
      <c r="P17" s="78">
        <v>0.82199999999999995</v>
      </c>
      <c r="Q17" s="78">
        <v>0.77400000000000002</v>
      </c>
      <c r="R17" s="101">
        <v>0.81</v>
      </c>
      <c r="S17" s="101">
        <v>0.8</v>
      </c>
      <c r="T17" s="101">
        <v>0.75</v>
      </c>
      <c r="U17" s="88">
        <v>0.71</v>
      </c>
      <c r="V17" s="88">
        <v>0.71</v>
      </c>
      <c r="W17" s="88">
        <v>0.7</v>
      </c>
      <c r="X17" s="81">
        <v>0.7</v>
      </c>
      <c r="Y17" s="81">
        <v>0.7</v>
      </c>
      <c r="Z17" s="81">
        <v>0.69</v>
      </c>
      <c r="AA17" s="82">
        <v>0.7</v>
      </c>
      <c r="AB17" s="82">
        <v>0.7</v>
      </c>
      <c r="AC17" s="82">
        <v>0.69</v>
      </c>
      <c r="AD17" s="92">
        <v>0.68</v>
      </c>
      <c r="AE17" s="92">
        <v>0.68</v>
      </c>
      <c r="AF17" s="92">
        <v>0.67</v>
      </c>
      <c r="AG17" s="94">
        <v>0.51</v>
      </c>
      <c r="AH17" s="94">
        <v>0.51</v>
      </c>
      <c r="AI17" s="94">
        <v>0.5</v>
      </c>
    </row>
    <row r="18" spans="1:37" x14ac:dyDescent="0.25">
      <c r="H18" s="10">
        <v>100</v>
      </c>
      <c r="I18" s="74">
        <v>0.97</v>
      </c>
      <c r="J18" s="74">
        <v>0.96499999999999997</v>
      </c>
      <c r="K18" s="74">
        <v>0.96</v>
      </c>
      <c r="L18" s="85">
        <v>0.82299999999999995</v>
      </c>
      <c r="M18" s="85">
        <v>0.82299999999999995</v>
      </c>
      <c r="N18" s="85">
        <v>0.77400000000000002</v>
      </c>
      <c r="O18" s="78">
        <v>0.82199999999999995</v>
      </c>
      <c r="P18" s="78">
        <v>0.82199999999999995</v>
      </c>
      <c r="Q18" s="78">
        <v>0.77400000000000002</v>
      </c>
      <c r="R18" s="101">
        <v>0.81</v>
      </c>
      <c r="S18" s="101">
        <v>0.8</v>
      </c>
      <c r="T18" s="101">
        <v>0.75</v>
      </c>
      <c r="U18" s="88">
        <v>0.71</v>
      </c>
      <c r="V18" s="88">
        <v>0.71</v>
      </c>
      <c r="W18" s="88">
        <v>0.7</v>
      </c>
      <c r="X18" s="90">
        <v>0.7</v>
      </c>
      <c r="Y18" s="90">
        <v>0.7</v>
      </c>
      <c r="Z18" s="81">
        <v>0.69</v>
      </c>
      <c r="AA18" s="91">
        <v>0.7</v>
      </c>
      <c r="AB18" s="91">
        <v>0.7</v>
      </c>
      <c r="AC18" s="82">
        <v>0.69</v>
      </c>
      <c r="AD18" s="92">
        <v>0.68</v>
      </c>
      <c r="AE18" s="92">
        <v>0.68</v>
      </c>
      <c r="AF18" s="92">
        <v>0.67</v>
      </c>
      <c r="AG18" s="94">
        <v>0.51</v>
      </c>
      <c r="AH18" s="94">
        <v>0.51</v>
      </c>
      <c r="AI18" s="94">
        <v>0.5</v>
      </c>
    </row>
    <row r="19" spans="1:37" x14ac:dyDescent="0.25">
      <c r="A19" t="s">
        <v>5</v>
      </c>
      <c r="B19">
        <f>LEN(A19)</f>
        <v>5</v>
      </c>
      <c r="C19">
        <v>3</v>
      </c>
      <c r="I19" s="89"/>
    </row>
    <row r="20" spans="1:37" x14ac:dyDescent="0.25">
      <c r="A20" t="s">
        <v>4</v>
      </c>
      <c r="B20">
        <f>LEN(A20)</f>
        <v>6</v>
      </c>
      <c r="C20">
        <v>2</v>
      </c>
      <c r="O20">
        <f t="array" ref="O20">VLOOKUP(Plan2!O21,Plan2!O24:P28,2,Plan2!O24:O28)</f>
        <v>1.2723</v>
      </c>
      <c r="AK20" s="95"/>
    </row>
    <row r="21" spans="1:37" x14ac:dyDescent="0.25">
      <c r="A21" t="s">
        <v>12</v>
      </c>
      <c r="B21">
        <f>LEN(A21)</f>
        <v>14</v>
      </c>
      <c r="C21">
        <v>4</v>
      </c>
      <c r="I21" s="74"/>
      <c r="L21">
        <f t="array" ref="L21">IF(CÁLCULO!E7="",1,VLOOKUP(CÁLCULO!E7,Plan2!L24:M27,2,Plan2!L24:L27))</f>
        <v>1</v>
      </c>
      <c r="O21">
        <f>CÁLCULO!E5</f>
        <v>1</v>
      </c>
    </row>
    <row r="22" spans="1:37" x14ac:dyDescent="0.25">
      <c r="D22" s="383" t="s">
        <v>32</v>
      </c>
      <c r="E22" s="383"/>
      <c r="F22" s="383"/>
      <c r="G22" s="383"/>
      <c r="L22" s="383" t="s">
        <v>56</v>
      </c>
      <c r="M22" s="383"/>
      <c r="O22" s="383" t="s">
        <v>63</v>
      </c>
      <c r="P22" s="383"/>
      <c r="R22" s="17" t="s">
        <v>31</v>
      </c>
      <c r="S22" s="17" t="s">
        <v>65</v>
      </c>
      <c r="T22" s="17" t="s">
        <v>66</v>
      </c>
      <c r="U22" s="17"/>
      <c r="V22" s="17"/>
      <c r="W22" s="17"/>
      <c r="X22" s="17" t="s">
        <v>67</v>
      </c>
      <c r="Y22" s="17" t="s">
        <v>68</v>
      </c>
      <c r="Z22" s="383" t="s">
        <v>26</v>
      </c>
      <c r="AA22" s="383"/>
    </row>
    <row r="23" spans="1:37" x14ac:dyDescent="0.25">
      <c r="A23" s="382" t="s">
        <v>23</v>
      </c>
      <c r="B23" s="382"/>
      <c r="D23" s="9" t="s">
        <v>13</v>
      </c>
      <c r="E23" s="9" t="s">
        <v>59</v>
      </c>
      <c r="F23" s="9" t="s">
        <v>200</v>
      </c>
      <c r="G23" s="9" t="s">
        <v>199</v>
      </c>
      <c r="H23" s="50" t="s">
        <v>169</v>
      </c>
      <c r="I23" s="50" t="s">
        <v>167</v>
      </c>
      <c r="J23" s="50" t="s">
        <v>168</v>
      </c>
      <c r="L23" s="9" t="s">
        <v>57</v>
      </c>
      <c r="M23" s="9" t="s">
        <v>58</v>
      </c>
      <c r="O23" s="31" t="s">
        <v>64</v>
      </c>
      <c r="P23" s="31" t="s">
        <v>10</v>
      </c>
      <c r="Z23" s="9" t="s">
        <v>13</v>
      </c>
      <c r="AA23" s="9" t="s">
        <v>36</v>
      </c>
    </row>
    <row r="24" spans="1:37" x14ac:dyDescent="0.25">
      <c r="A24" s="6">
        <v>10</v>
      </c>
      <c r="B24" s="7">
        <v>78.2</v>
      </c>
      <c r="D24" s="10">
        <v>10</v>
      </c>
      <c r="E24" s="11">
        <v>2.9000000000000001E-2</v>
      </c>
      <c r="F24" s="11">
        <v>5.1999999999999998E-2</v>
      </c>
      <c r="G24" s="11">
        <v>0.2</v>
      </c>
      <c r="H24" s="52">
        <v>0.189</v>
      </c>
      <c r="I24" s="52">
        <v>8.6999999999999994E-2</v>
      </c>
      <c r="J24" s="52">
        <v>0.14099999999999999</v>
      </c>
      <c r="L24" s="49">
        <v>100</v>
      </c>
      <c r="M24" s="11">
        <v>1.22</v>
      </c>
      <c r="O24">
        <f>CÁLCULO!J48</f>
        <v>1</v>
      </c>
      <c r="P24">
        <v>1.2723</v>
      </c>
      <c r="Z24" s="10">
        <v>10</v>
      </c>
      <c r="AA24" s="11">
        <v>0.2</v>
      </c>
    </row>
    <row r="25" spans="1:37" x14ac:dyDescent="0.25">
      <c r="A25" s="6">
        <v>12</v>
      </c>
      <c r="B25" s="7">
        <v>67</v>
      </c>
      <c r="D25" s="10">
        <v>12</v>
      </c>
      <c r="E25" s="11">
        <v>3.5000000000000003E-2</v>
      </c>
      <c r="F25" s="11">
        <v>6.2E-2</v>
      </c>
      <c r="G25" s="11">
        <v>0.2</v>
      </c>
      <c r="H25" s="52">
        <v>0.22600000000000001</v>
      </c>
      <c r="I25" s="52">
        <v>8.6999999999999994E-2</v>
      </c>
      <c r="J25" s="52">
        <v>0.14099999999999999</v>
      </c>
      <c r="L25" s="49">
        <v>200</v>
      </c>
      <c r="M25" s="11">
        <v>1.17</v>
      </c>
      <c r="O25">
        <f>CÁLCULO!J49</f>
        <v>2</v>
      </c>
      <c r="P25">
        <v>1.3740000000000001</v>
      </c>
      <c r="Z25" s="10">
        <v>12</v>
      </c>
      <c r="AA25" s="11">
        <v>0.25</v>
      </c>
    </row>
    <row r="26" spans="1:37" x14ac:dyDescent="0.25">
      <c r="A26" s="6">
        <v>15</v>
      </c>
      <c r="B26" s="7">
        <v>61</v>
      </c>
      <c r="D26" s="10">
        <v>15</v>
      </c>
      <c r="E26" s="11">
        <v>4.2999999999999997E-2</v>
      </c>
      <c r="F26" s="11">
        <v>7.8E-2</v>
      </c>
      <c r="G26" s="11">
        <v>0.25</v>
      </c>
      <c r="H26" s="52">
        <v>0.247</v>
      </c>
      <c r="I26" s="52">
        <v>0.13</v>
      </c>
      <c r="J26" s="52">
        <v>0.17599999999999999</v>
      </c>
      <c r="L26" s="49">
        <v>500</v>
      </c>
      <c r="M26" s="11">
        <v>1.1200000000000001</v>
      </c>
      <c r="O26">
        <f>CÁLCULO!J50</f>
        <v>3</v>
      </c>
      <c r="P26">
        <v>1.484</v>
      </c>
      <c r="Z26" s="10">
        <v>15</v>
      </c>
      <c r="AA26" s="11">
        <v>0.25</v>
      </c>
    </row>
    <row r="27" spans="1:37" x14ac:dyDescent="0.25">
      <c r="A27" s="6">
        <v>18</v>
      </c>
      <c r="B27" s="7">
        <v>47.6</v>
      </c>
      <c r="D27" s="10">
        <v>18</v>
      </c>
      <c r="E27" s="11">
        <v>5.0999999999999997E-2</v>
      </c>
      <c r="F27" s="11">
        <v>8.8999999999999996E-2</v>
      </c>
      <c r="G27" s="11">
        <v>0.3</v>
      </c>
      <c r="H27" s="5">
        <v>0.30499999999999999</v>
      </c>
      <c r="I27" s="5">
        <v>0.17399999999999999</v>
      </c>
      <c r="J27" s="5">
        <v>0.21199999999999999</v>
      </c>
      <c r="L27" s="49">
        <v>1000</v>
      </c>
      <c r="M27" s="11">
        <v>1.07</v>
      </c>
      <c r="O27">
        <f>CÁLCULO!J51</f>
        <v>4</v>
      </c>
      <c r="P27">
        <v>1.6027</v>
      </c>
      <c r="Z27" s="10">
        <v>18</v>
      </c>
      <c r="AA27" s="11">
        <v>0.3</v>
      </c>
    </row>
    <row r="28" spans="1:37" x14ac:dyDescent="0.25">
      <c r="A28" s="6">
        <v>20</v>
      </c>
      <c r="B28" s="7">
        <v>47.6</v>
      </c>
      <c r="D28" s="10">
        <v>20</v>
      </c>
      <c r="E28" s="11">
        <v>5.8000000000000003E-2</v>
      </c>
      <c r="F28" s="11">
        <v>0.1</v>
      </c>
      <c r="G28" s="11">
        <v>0.3</v>
      </c>
      <c r="H28" s="5">
        <v>0.30499999999999999</v>
      </c>
      <c r="I28" s="5">
        <v>0.17399999999999999</v>
      </c>
      <c r="J28" s="5">
        <v>0.21199999999999999</v>
      </c>
      <c r="O28">
        <f>CÁLCULO!J52</f>
        <v>5</v>
      </c>
      <c r="P28">
        <v>1.7307999999999999</v>
      </c>
      <c r="Z28" s="10">
        <v>20</v>
      </c>
      <c r="AA28" s="11">
        <v>0.3</v>
      </c>
    </row>
    <row r="29" spans="1:37" x14ac:dyDescent="0.25">
      <c r="A29" s="6">
        <v>21</v>
      </c>
      <c r="B29" s="7">
        <v>45.4</v>
      </c>
      <c r="D29" s="10">
        <v>21</v>
      </c>
      <c r="E29" s="11">
        <v>6.5000000000000002E-2</v>
      </c>
      <c r="F29" s="11">
        <v>0.107</v>
      </c>
      <c r="G29" s="11">
        <v>0.3</v>
      </c>
      <c r="H29" s="5">
        <v>0.35299999999999998</v>
      </c>
      <c r="I29" s="5">
        <v>0.216</v>
      </c>
      <c r="J29" s="5">
        <v>0.247</v>
      </c>
      <c r="Z29" s="10">
        <v>21</v>
      </c>
      <c r="AA29" s="11">
        <v>0.3</v>
      </c>
    </row>
    <row r="30" spans="1:37" x14ac:dyDescent="0.25">
      <c r="A30" s="6">
        <v>24</v>
      </c>
      <c r="B30" s="7">
        <v>43.4</v>
      </c>
      <c r="D30" s="10">
        <v>24</v>
      </c>
      <c r="E30" s="11">
        <v>7.2999999999999995E-2</v>
      </c>
      <c r="F30" s="11">
        <v>0.11</v>
      </c>
      <c r="G30" s="11">
        <v>0.4</v>
      </c>
      <c r="H30" s="5">
        <v>0.35299999999999998</v>
      </c>
      <c r="I30" s="5">
        <v>0.216</v>
      </c>
      <c r="J30" s="5">
        <v>0.247</v>
      </c>
      <c r="Z30" s="10">
        <v>24</v>
      </c>
      <c r="AA30" s="11">
        <v>0.4</v>
      </c>
    </row>
    <row r="31" spans="1:37" x14ac:dyDescent="0.25">
      <c r="A31" s="6">
        <v>28</v>
      </c>
      <c r="B31" s="33">
        <v>38.299999999999997</v>
      </c>
      <c r="D31" s="10">
        <v>28</v>
      </c>
      <c r="E31" s="11">
        <v>8.5000000000000006E-2</v>
      </c>
      <c r="F31" s="11">
        <v>0.128</v>
      </c>
      <c r="G31" s="11">
        <v>0.45</v>
      </c>
      <c r="H31" s="5">
        <v>0.41199999999999998</v>
      </c>
      <c r="I31" s="5">
        <v>0.246</v>
      </c>
      <c r="J31" s="5">
        <v>0.28199999999999997</v>
      </c>
      <c r="L31" s="381" t="s">
        <v>14</v>
      </c>
      <c r="M31" s="381"/>
      <c r="N31" s="381"/>
      <c r="O31" s="381"/>
      <c r="P31" s="381"/>
      <c r="Q31" s="381"/>
      <c r="R31" s="381"/>
      <c r="Z31" s="10">
        <v>28</v>
      </c>
      <c r="AA31" s="11">
        <v>0.45</v>
      </c>
    </row>
    <row r="32" spans="1:37" x14ac:dyDescent="0.25">
      <c r="A32" s="6">
        <v>30</v>
      </c>
      <c r="B32" s="7">
        <v>33.200000000000003</v>
      </c>
      <c r="D32" s="10">
        <v>30</v>
      </c>
      <c r="E32" s="11">
        <v>0.1</v>
      </c>
      <c r="F32" s="11">
        <v>0.13600000000000001</v>
      </c>
      <c r="G32" s="11">
        <v>0.5</v>
      </c>
      <c r="H32" s="5">
        <v>0.48199999999999998</v>
      </c>
      <c r="I32" s="5">
        <v>0.28799999999999998</v>
      </c>
      <c r="J32" s="5">
        <v>0.33</v>
      </c>
      <c r="L32" s="9" t="s">
        <v>15</v>
      </c>
      <c r="M32" s="9" t="s">
        <v>22</v>
      </c>
      <c r="N32" s="9" t="s">
        <v>23</v>
      </c>
      <c r="O32" s="9" t="s">
        <v>24</v>
      </c>
      <c r="P32" s="9" t="str">
        <f>Tabela!O25</f>
        <v>Nenhum</v>
      </c>
      <c r="Q32" s="9" t="s">
        <v>26</v>
      </c>
      <c r="R32" s="9"/>
      <c r="Z32" s="10">
        <v>30</v>
      </c>
      <c r="AA32" s="11">
        <v>0.5</v>
      </c>
    </row>
    <row r="33" spans="1:27" x14ac:dyDescent="0.25">
      <c r="A33" s="6">
        <v>33</v>
      </c>
      <c r="B33" s="7">
        <v>33.200000000000003</v>
      </c>
      <c r="D33" s="10">
        <v>33</v>
      </c>
      <c r="E33" s="11">
        <v>0.1</v>
      </c>
      <c r="F33" s="11">
        <v>0.13600000000000001</v>
      </c>
      <c r="G33" s="11">
        <v>0.5</v>
      </c>
      <c r="H33" s="5">
        <v>0.48199999999999998</v>
      </c>
      <c r="I33" s="5">
        <v>0.28799999999999998</v>
      </c>
      <c r="J33" s="5">
        <v>0.33</v>
      </c>
      <c r="L33" s="8">
        <f>CÁLCULO!C5</f>
        <v>45</v>
      </c>
      <c r="M33" s="8">
        <f>VLOOKUP(CÁLCULO!B3,tab_metros,VLOOKUP(A15,B19:C21,2,FALSE),FALSE)</f>
        <v>15.69</v>
      </c>
      <c r="N33" s="8">
        <f>VLOOKUP(CÁLCULO!B5,A24:B38,2,A24:A38)</f>
        <v>78.2</v>
      </c>
      <c r="O33" s="8">
        <f>VLOOKUP(CÁLCULO!B5,Plan2!H5:AI18,(VLOOKUP(Plan2!A15,Plan2!B19:C21,2)+Plan2!B15))</f>
        <v>0.82299999999999995</v>
      </c>
      <c r="P33" s="8">
        <f>IF(Tabela!O25="NENHUM",0,VLOOKUP(Tabela!C24,Plan2!D24:J38,Plan2!E15,Plan2!D24:D38))</f>
        <v>0</v>
      </c>
      <c r="Q33" s="8"/>
      <c r="R33" s="8"/>
      <c r="Z33" s="10">
        <v>33</v>
      </c>
      <c r="AA33" s="11">
        <v>0.5</v>
      </c>
    </row>
    <row r="34" spans="1:27" x14ac:dyDescent="0.25">
      <c r="A34" s="6">
        <v>40</v>
      </c>
      <c r="B34" s="7">
        <v>28.1</v>
      </c>
      <c r="D34" s="10">
        <v>40</v>
      </c>
      <c r="E34" s="11">
        <v>0.11600000000000001</v>
      </c>
      <c r="F34" s="11">
        <v>0.17599999999999999</v>
      </c>
      <c r="G34" s="11">
        <v>0.55000000000000004</v>
      </c>
      <c r="H34" s="5">
        <v>0.54100000000000004</v>
      </c>
      <c r="I34" s="5">
        <v>0.34799999999999998</v>
      </c>
      <c r="J34" s="5">
        <v>0.39800000000000002</v>
      </c>
      <c r="L34" s="9" t="s">
        <v>15</v>
      </c>
      <c r="M34" s="9" t="s">
        <v>22</v>
      </c>
      <c r="N34" s="9" t="s">
        <v>23</v>
      </c>
      <c r="O34" s="9" t="s">
        <v>24</v>
      </c>
      <c r="P34" s="9" t="s">
        <v>32</v>
      </c>
      <c r="Q34" s="9" t="s">
        <v>26</v>
      </c>
      <c r="R34" s="9"/>
      <c r="Z34" s="10">
        <v>40</v>
      </c>
      <c r="AA34" s="11">
        <v>0.55000000000000004</v>
      </c>
    </row>
    <row r="35" spans="1:27" x14ac:dyDescent="0.25">
      <c r="A35" s="6">
        <v>50</v>
      </c>
      <c r="B35" s="7">
        <v>23</v>
      </c>
      <c r="D35" s="10">
        <v>50</v>
      </c>
      <c r="E35" s="11">
        <v>0.14499999999999999</v>
      </c>
      <c r="F35" s="11">
        <v>0.22</v>
      </c>
      <c r="G35" s="11">
        <v>0.7</v>
      </c>
      <c r="H35" s="5">
        <v>0.67</v>
      </c>
      <c r="I35" s="5">
        <v>0.432</v>
      </c>
      <c r="J35" s="5">
        <v>0.497</v>
      </c>
      <c r="L35" s="8">
        <f>CÁLCULO!C7</f>
        <v>0</v>
      </c>
      <c r="M35" s="8">
        <f>VLOOKUP(CÁLCULO!B3,B4:E11,VLOOKUP(A17,B19:C21,2,FALSE),FALSE)</f>
        <v>15.69</v>
      </c>
      <c r="N35" s="8">
        <f>VLOOKUP(CÁLCULO!B5,A24:B38,2,A24:A38)</f>
        <v>78.2</v>
      </c>
      <c r="O35" s="8">
        <f>VLOOKUP(CÁLCULO!B5,Plan2!H5:AL18,(VLOOKUP(Plan2!A17,Plan2!B19:C21,2)+Plan2!B15))</f>
        <v>0.82299999999999995</v>
      </c>
      <c r="P35" s="8">
        <f>IF(Tabela!O25="NENHUM",0,VLOOKUP(Tabela!C24,Plan2!D24:J38,Plan2!E15,Plan2!D24:D38))</f>
        <v>0</v>
      </c>
      <c r="Q35" s="8"/>
      <c r="R35" s="8"/>
      <c r="Z35" s="10">
        <v>50</v>
      </c>
      <c r="AA35" s="11">
        <v>0.7</v>
      </c>
    </row>
    <row r="36" spans="1:27" x14ac:dyDescent="0.25">
      <c r="A36" s="6">
        <v>67</v>
      </c>
      <c r="B36" s="7">
        <v>13.5</v>
      </c>
      <c r="D36" s="10">
        <v>67</v>
      </c>
      <c r="E36" s="11">
        <v>0.19400000000000001</v>
      </c>
      <c r="F36" s="11">
        <v>0.29499999999999998</v>
      </c>
      <c r="G36" s="11">
        <v>0.95</v>
      </c>
      <c r="H36" s="5">
        <v>0.94099999999999995</v>
      </c>
      <c r="I36" s="5">
        <v>0.58799999999999997</v>
      </c>
      <c r="J36" s="5">
        <v>0.67500000000000004</v>
      </c>
      <c r="Z36" s="10">
        <v>67</v>
      </c>
      <c r="AA36" s="11">
        <v>0.85</v>
      </c>
    </row>
    <row r="37" spans="1:27" x14ac:dyDescent="0.25">
      <c r="A37" s="6">
        <v>100</v>
      </c>
      <c r="B37" s="7">
        <v>11.5</v>
      </c>
      <c r="D37" s="10">
        <v>100</v>
      </c>
      <c r="E37" s="11">
        <v>0.28999999999999998</v>
      </c>
      <c r="F37" s="11">
        <v>0.44</v>
      </c>
      <c r="G37" s="11">
        <v>1.4</v>
      </c>
      <c r="H37" s="5">
        <v>1.339</v>
      </c>
      <c r="I37" s="5">
        <v>0.88200000000000001</v>
      </c>
      <c r="J37" s="5">
        <v>1.101</v>
      </c>
      <c r="Z37" s="10">
        <v>100</v>
      </c>
      <c r="AA37" s="11">
        <v>0.95</v>
      </c>
    </row>
    <row r="38" spans="1:27" x14ac:dyDescent="0.25">
      <c r="A38" s="6">
        <v>200</v>
      </c>
      <c r="B38" s="7">
        <v>5.9</v>
      </c>
      <c r="D38" s="66">
        <v>200</v>
      </c>
      <c r="E38" s="67">
        <v>0.5</v>
      </c>
      <c r="F38" s="67">
        <v>0.6</v>
      </c>
      <c r="G38" s="67">
        <v>2.8</v>
      </c>
      <c r="H38" s="5">
        <v>2.6</v>
      </c>
      <c r="I38" s="5">
        <v>1.6</v>
      </c>
      <c r="J38" s="5">
        <v>2</v>
      </c>
    </row>
    <row r="39" spans="1:27" x14ac:dyDescent="0.25">
      <c r="M39">
        <f>A17</f>
        <v>6</v>
      </c>
    </row>
    <row r="40" spans="1:27" x14ac:dyDescent="0.25">
      <c r="M40">
        <f>VLOOKUP(CÁLCULO!B3,B4:E11,1,FALSE)</f>
        <v>500</v>
      </c>
      <c r="O40">
        <f>VLOOKUP(var_largura,tabela_fator,VLOOKUP(Plan2!A15,Plan2!B19:C21,2))</f>
        <v>0.97</v>
      </c>
    </row>
    <row r="41" spans="1:27" x14ac:dyDescent="0.25">
      <c r="M41" t="e">
        <f>VLOOKUP(A17,tab_metros,1,FALSE)</f>
        <v>#N/A</v>
      </c>
      <c r="O41">
        <f>CÁLCULO!B5</f>
        <v>10</v>
      </c>
    </row>
    <row r="42" spans="1:27" x14ac:dyDescent="0.25">
      <c r="A42" t="s">
        <v>342</v>
      </c>
      <c r="M42">
        <f>A17</f>
        <v>6</v>
      </c>
      <c r="O42">
        <f>Plan2!A15</f>
        <v>6</v>
      </c>
    </row>
    <row r="43" spans="1:27" x14ac:dyDescent="0.25">
      <c r="A43" s="6">
        <v>1.1499999999999999</v>
      </c>
      <c r="O43">
        <f>Plan2!B15</f>
        <v>3</v>
      </c>
    </row>
    <row r="44" spans="1:27" x14ac:dyDescent="0.25">
      <c r="O44">
        <f>VLOOKUP(CÁLCULO!B5,Plan2!H5:AI18,4)</f>
        <v>0.96</v>
      </c>
    </row>
    <row r="45" spans="1:27" x14ac:dyDescent="0.25">
      <c r="A45" t="s">
        <v>344</v>
      </c>
      <c r="O45">
        <f>VLOOKUP(Plan2!A15,Plan2!B19:C21,2,FALSE)</f>
        <v>2</v>
      </c>
    </row>
    <row r="46" spans="1:27" x14ac:dyDescent="0.25">
      <c r="A46" s="6">
        <v>1.1100000000000001</v>
      </c>
    </row>
    <row r="49" spans="15:15" x14ac:dyDescent="0.25">
      <c r="O49">
        <f>VLOOKUP(CÁLCULO!B5,Plan2!H5:AF18,(VLOOKUP(Plan2!A15,Plan2!B19:C21,2)+Plan2!B15))</f>
        <v>0.82299999999999995</v>
      </c>
    </row>
  </sheetData>
  <mergeCells count="27">
    <mergeCell ref="AD2:AF2"/>
    <mergeCell ref="AG2:AI2"/>
    <mergeCell ref="R3:T3"/>
    <mergeCell ref="X3:Z3"/>
    <mergeCell ref="AA3:AC3"/>
    <mergeCell ref="A13:E13"/>
    <mergeCell ref="A1:O1"/>
    <mergeCell ref="A2:E2"/>
    <mergeCell ref="AG3:AI3"/>
    <mergeCell ref="AD3:AF3"/>
    <mergeCell ref="U3:W3"/>
    <mergeCell ref="L2:N2"/>
    <mergeCell ref="O2:Q2"/>
    <mergeCell ref="R2:T2"/>
    <mergeCell ref="U2:W2"/>
    <mergeCell ref="X2:Z2"/>
    <mergeCell ref="AA2:AC2"/>
    <mergeCell ref="G2:K2"/>
    <mergeCell ref="I3:K3"/>
    <mergeCell ref="L3:N3"/>
    <mergeCell ref="O3:Q3"/>
    <mergeCell ref="L31:R31"/>
    <mergeCell ref="A23:B23"/>
    <mergeCell ref="D22:G22"/>
    <mergeCell ref="Z22:AA22"/>
    <mergeCell ref="L22:M22"/>
    <mergeCell ref="O22:P22"/>
  </mergeCells>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2"/>
  <dimension ref="A1:O172"/>
  <sheetViews>
    <sheetView zoomScale="85" zoomScaleNormal="85" workbookViewId="0">
      <selection activeCell="B18" sqref="B18"/>
    </sheetView>
  </sheetViews>
  <sheetFormatPr defaultRowHeight="15" x14ac:dyDescent="0.25"/>
  <cols>
    <col min="1" max="1" width="21.140625" customWidth="1"/>
    <col min="2" max="2" width="16.42578125" customWidth="1"/>
    <col min="3" max="3" width="18.7109375" customWidth="1"/>
    <col min="4" max="4" width="30" customWidth="1"/>
    <col min="5" max="5" width="17.5703125" customWidth="1"/>
    <col min="6" max="6" width="4.140625" customWidth="1"/>
    <col min="7" max="7" width="6.7109375" customWidth="1"/>
    <col min="8" max="8" width="36.28515625" customWidth="1"/>
    <col min="11" max="11" width="12.28515625" customWidth="1"/>
  </cols>
  <sheetData>
    <row r="1" spans="1:12" x14ac:dyDescent="0.25">
      <c r="A1" s="401" t="s">
        <v>8</v>
      </c>
      <c r="B1" s="401"/>
      <c r="C1" s="401"/>
      <c r="D1" s="401"/>
      <c r="E1" s="401"/>
      <c r="F1" s="401"/>
      <c r="G1" s="401"/>
      <c r="H1" s="401"/>
      <c r="I1" s="20"/>
      <c r="J1" s="20"/>
      <c r="K1" s="20"/>
      <c r="L1" s="20"/>
    </row>
    <row r="2" spans="1:12" x14ac:dyDescent="0.25">
      <c r="A2" s="3" t="s">
        <v>9</v>
      </c>
      <c r="B2" s="3" t="s">
        <v>10</v>
      </c>
      <c r="C2" s="3" t="s">
        <v>42</v>
      </c>
      <c r="D2" s="3" t="s">
        <v>16</v>
      </c>
      <c r="E2" s="3" t="s">
        <v>30</v>
      </c>
      <c r="F2" s="21"/>
      <c r="G2" s="21"/>
      <c r="H2" s="40" t="s">
        <v>86</v>
      </c>
      <c r="I2" s="21"/>
      <c r="J2" s="21"/>
      <c r="K2" s="21"/>
      <c r="L2" s="21"/>
    </row>
    <row r="3" spans="1:12" x14ac:dyDescent="0.25">
      <c r="A3" s="16">
        <f>Tabela!M19</f>
        <v>500</v>
      </c>
      <c r="B3" s="16">
        <f>Tabela!T11</f>
        <v>500</v>
      </c>
      <c r="C3" s="16" t="str">
        <f>Tabela!Q41</f>
        <v>BRANCO E PRETO</v>
      </c>
      <c r="D3" s="16" t="str">
        <f>Tabela!S23</f>
        <v xml:space="preserve">CORTE NORMAL </v>
      </c>
      <c r="E3" s="16"/>
      <c r="F3" s="21"/>
      <c r="G3" s="21"/>
      <c r="H3" s="3" t="s">
        <v>85</v>
      </c>
      <c r="I3" s="21"/>
      <c r="J3" s="21"/>
      <c r="K3" s="21"/>
      <c r="L3" s="21"/>
    </row>
    <row r="4" spans="1:12" x14ac:dyDescent="0.25">
      <c r="A4" s="3" t="s">
        <v>79</v>
      </c>
      <c r="B4" s="3" t="s">
        <v>80</v>
      </c>
      <c r="C4" s="3" t="s">
        <v>82</v>
      </c>
      <c r="D4" s="3"/>
      <c r="E4" s="3" t="s">
        <v>10</v>
      </c>
      <c r="F4" s="21"/>
      <c r="G4" s="21"/>
      <c r="H4" s="34"/>
      <c r="I4" s="21"/>
      <c r="J4" s="21"/>
      <c r="K4" s="21"/>
      <c r="L4" s="21"/>
    </row>
    <row r="5" spans="1:12" x14ac:dyDescent="0.25">
      <c r="A5" s="16">
        <f>IF(Tabela!E23="Dupla densidade",Tabela!C25/2,Tabela!C25)</f>
        <v>25</v>
      </c>
      <c r="B5" s="16">
        <f>Tabela!C24</f>
        <v>10</v>
      </c>
      <c r="C5" s="16">
        <f>Tabela!T39</f>
        <v>45</v>
      </c>
      <c r="D5" s="16" t="str">
        <f t="array" ref="D5">VLOOKUP(Tabela!AN44,Tabela!AO45:AP49,2,Tabela!AO45:AO49)</f>
        <v>TAFETÁ</v>
      </c>
      <c r="E5" s="16">
        <f t="array" ref="E5">Tabela!N11</f>
        <v>1</v>
      </c>
      <c r="F5" s="21"/>
      <c r="G5" s="21"/>
      <c r="H5" s="3" t="s">
        <v>3</v>
      </c>
      <c r="I5" s="21"/>
      <c r="J5" s="21"/>
      <c r="K5" s="21"/>
      <c r="L5" s="21"/>
    </row>
    <row r="6" spans="1:12" x14ac:dyDescent="0.25">
      <c r="A6" s="3" t="s">
        <v>78</v>
      </c>
      <c r="B6" s="3" t="s">
        <v>77</v>
      </c>
      <c r="C6" s="3" t="s">
        <v>81</v>
      </c>
      <c r="D6" s="3" t="s">
        <v>76</v>
      </c>
      <c r="E6" s="3" t="s">
        <v>43</v>
      </c>
      <c r="F6" s="21"/>
      <c r="G6" s="21"/>
      <c r="H6" s="39">
        <f t="array" ref="H6">+ROUND((A9/1000)*H4,0)</f>
        <v>0</v>
      </c>
      <c r="I6" s="21"/>
      <c r="J6" s="21"/>
      <c r="K6" s="21"/>
      <c r="L6" s="21"/>
    </row>
    <row r="7" spans="1:12" x14ac:dyDescent="0.25">
      <c r="A7" s="34">
        <f t="array" ref="A7">IF(Tabela!E23="Dupla densidade",Tabela!C25/2,0)</f>
        <v>0</v>
      </c>
      <c r="B7" s="34">
        <f>B5</f>
        <v>10</v>
      </c>
      <c r="C7" s="34">
        <f t="array" ref="C7">IF(Tabela!E23="Dupla densidade",Tabela!U39,0)</f>
        <v>0</v>
      </c>
      <c r="D7" s="34" t="str">
        <f>Tabela!E25</f>
        <v>Tafetá</v>
      </c>
      <c r="E7" s="18" t="str">
        <f t="array" ref="E7">IF(Tabela!S20="","",Tabela!S20)</f>
        <v/>
      </c>
      <c r="F7" s="21"/>
      <c r="G7" s="21"/>
      <c r="H7" s="21"/>
      <c r="I7" s="21"/>
      <c r="J7" s="21"/>
      <c r="K7" s="21"/>
      <c r="L7" s="21"/>
    </row>
    <row r="8" spans="1:12" x14ac:dyDescent="0.25">
      <c r="A8" s="42" t="s">
        <v>83</v>
      </c>
      <c r="B8" s="21"/>
      <c r="C8" s="21"/>
      <c r="D8" s="44" t="s">
        <v>89</v>
      </c>
      <c r="E8" s="21"/>
      <c r="F8" s="21"/>
      <c r="G8" s="21"/>
      <c r="H8" s="21"/>
      <c r="I8" s="21"/>
      <c r="J8" s="21"/>
      <c r="K8" s="21"/>
      <c r="L8" s="21"/>
    </row>
    <row r="9" spans="1:12" x14ac:dyDescent="0.25">
      <c r="A9" s="35">
        <f t="array" ref="A9">A5+A7</f>
        <v>25</v>
      </c>
      <c r="B9" s="21"/>
      <c r="C9" s="21"/>
      <c r="D9" s="16"/>
      <c r="E9" s="21"/>
      <c r="F9" s="21"/>
      <c r="G9" s="21"/>
      <c r="H9" s="21"/>
      <c r="I9" s="21"/>
      <c r="J9" s="21"/>
      <c r="K9" s="21"/>
      <c r="L9" s="21"/>
    </row>
    <row r="10" spans="1:12" x14ac:dyDescent="0.25">
      <c r="A10" s="21"/>
      <c r="B10" s="21"/>
      <c r="C10" s="21"/>
      <c r="D10" s="21"/>
      <c r="E10" s="21"/>
      <c r="F10" s="21"/>
      <c r="G10" s="21"/>
      <c r="H10" s="21"/>
      <c r="I10" s="21"/>
      <c r="J10" s="21"/>
      <c r="K10" s="21"/>
      <c r="L10" s="21"/>
    </row>
    <row r="11" spans="1:12" ht="26.25" x14ac:dyDescent="0.4">
      <c r="A11" s="400" t="s">
        <v>52</v>
      </c>
      <c r="B11" s="400"/>
      <c r="C11" s="400"/>
      <c r="D11" s="400"/>
      <c r="E11" s="402" t="s">
        <v>87</v>
      </c>
      <c r="F11" s="402"/>
      <c r="G11" s="402"/>
      <c r="H11" s="21"/>
      <c r="I11" s="21"/>
      <c r="J11" s="21"/>
      <c r="K11" s="21"/>
      <c r="L11" s="21"/>
    </row>
    <row r="12" spans="1:12" ht="37.5" customHeight="1" x14ac:dyDescent="0.5">
      <c r="A12" s="41" t="s">
        <v>74</v>
      </c>
      <c r="B12" s="41" t="s">
        <v>75</v>
      </c>
      <c r="C12" s="41" t="s">
        <v>84</v>
      </c>
      <c r="D12" s="41" t="s">
        <v>39</v>
      </c>
      <c r="E12" s="403"/>
      <c r="F12" s="403"/>
      <c r="G12" s="403"/>
      <c r="H12" s="43" t="s">
        <v>45</v>
      </c>
      <c r="I12" s="21"/>
      <c r="J12" s="21"/>
      <c r="K12" s="21"/>
      <c r="L12" s="21"/>
    </row>
    <row r="13" spans="1:12" ht="42.75" customHeight="1" x14ac:dyDescent="0.25">
      <c r="A13" s="36">
        <f>Tabela!E15</f>
        <v>14.081016000000002</v>
      </c>
      <c r="B13" s="13">
        <f>IF(Plan2!L35=0,0,ROUND(Plan2!L35*Plan2!M35/Plan2!N35/Plan2!O35*Tabela!AM102,5))</f>
        <v>0</v>
      </c>
      <c r="C13" s="13">
        <f>((ROUND(((((((D25)+B16)+C16)*A5)/CC)*Tabela!AJ102)+(IF(Plan2!L35=0,0,ROUND(Plan2!L35*Plan2!M35/Plan2!N35/Plan2!O35*Tabela!AM102,5))),5)+(Tabela!AS51))*(Plan2!O20))*(Plan2!L21)</f>
        <v>12.562066773</v>
      </c>
      <c r="D13" s="13">
        <f>ROUND((C13/A9),5)</f>
        <v>0.50248000000000004</v>
      </c>
      <c r="E13" s="21"/>
      <c r="F13" s="21"/>
      <c r="G13" s="21"/>
      <c r="H13" s="15">
        <f>(D13)*(A3)</f>
        <v>251.24</v>
      </c>
      <c r="I13" s="21"/>
      <c r="J13" s="21"/>
      <c r="K13" s="21"/>
      <c r="L13" s="21"/>
    </row>
    <row r="14" spans="1:12" ht="26.25" x14ac:dyDescent="0.4">
      <c r="A14" s="2"/>
      <c r="B14" s="2"/>
      <c r="C14" s="2"/>
      <c r="D14" s="2"/>
      <c r="E14" s="402" t="s">
        <v>88</v>
      </c>
      <c r="F14" s="402"/>
      <c r="G14" s="402"/>
      <c r="H14" s="37">
        <v>7352911</v>
      </c>
      <c r="I14" s="21"/>
      <c r="J14" s="21"/>
      <c r="K14" s="21"/>
      <c r="L14" s="21"/>
    </row>
    <row r="15" spans="1:12" ht="39.75" customHeight="1" x14ac:dyDescent="0.5">
      <c r="A15" s="41" t="s">
        <v>40</v>
      </c>
      <c r="B15" s="41" t="s">
        <v>37</v>
      </c>
      <c r="C15" s="41" t="s">
        <v>38</v>
      </c>
      <c r="D15" s="41" t="s">
        <v>41</v>
      </c>
      <c r="E15" s="404"/>
      <c r="F15" s="404"/>
      <c r="G15" s="404"/>
      <c r="H15" s="38"/>
      <c r="I15" s="21"/>
      <c r="J15" s="21"/>
      <c r="K15" s="21"/>
      <c r="L15" s="21"/>
    </row>
    <row r="16" spans="1:12" ht="26.25" x14ac:dyDescent="0.25">
      <c r="A16" s="13">
        <f t="array" ref="A16">ROUND(C13/1000,5)</f>
        <v>1.256E-2</v>
      </c>
      <c r="B16" s="13">
        <f>Plan2!P33</f>
        <v>0</v>
      </c>
      <c r="C16" s="13">
        <f>IF(D3="MEIO CORTE",Plan2!Q33,0)</f>
        <v>0</v>
      </c>
      <c r="D16" s="14">
        <f>ROUND(A3/(A9/1000),0)</f>
        <v>20000</v>
      </c>
      <c r="E16" s="21"/>
      <c r="F16" s="21"/>
      <c r="G16" s="21"/>
      <c r="H16" s="21"/>
      <c r="I16" s="21"/>
      <c r="J16" s="21"/>
      <c r="K16" s="21"/>
      <c r="L16" s="21"/>
    </row>
    <row r="17" spans="1:12" x14ac:dyDescent="0.25">
      <c r="A17" s="21"/>
      <c r="B17" s="21"/>
      <c r="C17" s="21"/>
      <c r="D17" s="21"/>
      <c r="E17" s="21"/>
      <c r="F17" s="21"/>
      <c r="G17" s="21"/>
      <c r="H17" s="21"/>
      <c r="I17" s="21"/>
      <c r="J17" s="21"/>
      <c r="K17" s="21"/>
      <c r="L17" s="21"/>
    </row>
    <row r="18" spans="1:12" x14ac:dyDescent="0.25">
      <c r="A18" s="21"/>
      <c r="B18" s="21"/>
      <c r="C18" s="21"/>
      <c r="D18" s="32"/>
      <c r="E18" s="21"/>
      <c r="F18" s="21"/>
      <c r="G18" s="21"/>
      <c r="H18" s="21"/>
      <c r="I18" s="21"/>
      <c r="J18" s="21"/>
      <c r="K18" s="21"/>
      <c r="L18" s="21"/>
    </row>
    <row r="19" spans="1:12" ht="26.25" customHeight="1" x14ac:dyDescent="0.25">
      <c r="A19" s="21"/>
      <c r="B19" s="21"/>
      <c r="C19" s="21"/>
      <c r="D19" s="21"/>
      <c r="E19" s="21"/>
      <c r="F19" s="21"/>
      <c r="G19" s="21"/>
      <c r="H19" s="21"/>
      <c r="I19" s="21"/>
      <c r="J19" s="21"/>
      <c r="K19" s="21"/>
      <c r="L19" s="21"/>
    </row>
    <row r="20" spans="1:12" ht="15" customHeight="1" x14ac:dyDescent="0.25">
      <c r="A20" s="21"/>
      <c r="B20" s="21"/>
      <c r="C20" s="21"/>
      <c r="D20" s="21"/>
      <c r="E20" s="21"/>
      <c r="F20" s="21"/>
      <c r="G20" s="21"/>
      <c r="H20" s="21"/>
      <c r="I20" s="21"/>
      <c r="J20" s="21"/>
      <c r="K20" s="21"/>
      <c r="L20" s="21"/>
    </row>
    <row r="21" spans="1:12" ht="15" customHeight="1" x14ac:dyDescent="0.25"/>
    <row r="22" spans="1:12" ht="15" customHeight="1" x14ac:dyDescent="0.25"/>
    <row r="23" spans="1:12" ht="15" customHeight="1" x14ac:dyDescent="0.25"/>
    <row r="24" spans="1:12" ht="15" customHeight="1" x14ac:dyDescent="0.25"/>
    <row r="25" spans="1:12" x14ac:dyDescent="0.25">
      <c r="C25" t="s">
        <v>270</v>
      </c>
      <c r="D25">
        <f>Plan2!L33*Plan2!M33/Plan2!N33/A5</f>
        <v>0.3611508951406649</v>
      </c>
    </row>
    <row r="26" spans="1:12" x14ac:dyDescent="0.25">
      <c r="C26" t="s">
        <v>24</v>
      </c>
      <c r="D26">
        <f>Plan2!O33</f>
        <v>0.82299999999999995</v>
      </c>
    </row>
    <row r="30" spans="1:12" x14ac:dyDescent="0.25">
      <c r="A30" s="22"/>
      <c r="B30" s="22"/>
      <c r="C30" s="22"/>
      <c r="D30" s="22"/>
      <c r="E30" s="22"/>
      <c r="F30" s="22"/>
      <c r="G30" s="22"/>
      <c r="H30" s="22"/>
      <c r="I30" s="22"/>
      <c r="J30" s="22"/>
      <c r="K30" s="22"/>
    </row>
    <row r="31" spans="1:12" x14ac:dyDescent="0.25">
      <c r="A31" s="22"/>
      <c r="B31" s="22"/>
      <c r="C31" s="22"/>
      <c r="D31" s="22"/>
      <c r="E31" s="22"/>
      <c r="F31" s="22"/>
      <c r="G31" s="22"/>
      <c r="H31" s="22"/>
      <c r="I31" s="22"/>
      <c r="J31" s="22"/>
      <c r="K31" s="22"/>
    </row>
    <row r="32" spans="1:12" x14ac:dyDescent="0.25">
      <c r="A32" s="22"/>
      <c r="B32" s="22"/>
      <c r="C32" s="22"/>
      <c r="D32" s="22"/>
      <c r="E32" s="22"/>
      <c r="F32" s="22"/>
      <c r="G32" s="22"/>
      <c r="H32" s="22"/>
      <c r="I32" s="22"/>
      <c r="J32" s="22"/>
      <c r="K32" s="22"/>
    </row>
    <row r="33" spans="1:11" x14ac:dyDescent="0.25">
      <c r="A33" s="22"/>
      <c r="B33" s="22"/>
      <c r="C33" s="22"/>
      <c r="D33" s="22"/>
      <c r="E33" s="22"/>
      <c r="F33" s="22"/>
      <c r="G33" s="22"/>
      <c r="H33" s="22"/>
      <c r="I33" s="22"/>
      <c r="J33" s="22"/>
      <c r="K33" s="22"/>
    </row>
    <row r="34" spans="1:11" x14ac:dyDescent="0.25">
      <c r="A34" s="22"/>
      <c r="B34" s="22"/>
      <c r="C34" s="22"/>
      <c r="D34" s="22"/>
      <c r="E34" s="22"/>
      <c r="F34" s="22"/>
      <c r="G34" s="22"/>
      <c r="H34" s="22"/>
      <c r="I34" s="22"/>
      <c r="J34" s="22"/>
      <c r="K34" s="22"/>
    </row>
    <row r="35" spans="1:11" x14ac:dyDescent="0.25">
      <c r="A35" s="22"/>
      <c r="B35" s="22"/>
      <c r="C35" s="22"/>
      <c r="D35" s="22"/>
      <c r="E35" s="22"/>
      <c r="F35" s="22"/>
      <c r="G35" s="22"/>
      <c r="H35" s="22"/>
      <c r="I35" s="22"/>
      <c r="J35" s="22"/>
      <c r="K35" s="22"/>
    </row>
    <row r="36" spans="1:11" x14ac:dyDescent="0.25">
      <c r="A36" s="22"/>
      <c r="B36" s="22"/>
      <c r="C36" s="22"/>
      <c r="D36" s="22"/>
      <c r="E36" s="22"/>
      <c r="F36" s="22"/>
      <c r="G36" s="22"/>
      <c r="H36" s="22"/>
      <c r="I36" s="22"/>
      <c r="J36" s="22"/>
      <c r="K36" s="22"/>
    </row>
    <row r="37" spans="1:11" x14ac:dyDescent="0.25">
      <c r="A37" s="22"/>
      <c r="B37" s="22"/>
      <c r="C37" s="22"/>
      <c r="D37" s="22"/>
      <c r="E37" s="22"/>
      <c r="F37" s="22"/>
      <c r="G37" s="22"/>
      <c r="H37" s="22"/>
      <c r="I37" s="22"/>
      <c r="J37" s="22"/>
      <c r="K37" s="22"/>
    </row>
    <row r="38" spans="1:11" x14ac:dyDescent="0.25">
      <c r="A38" s="23" t="s">
        <v>11</v>
      </c>
      <c r="B38" s="23" t="s">
        <v>48</v>
      </c>
      <c r="C38" s="23" t="s">
        <v>3</v>
      </c>
      <c r="D38" s="96" t="s">
        <v>46</v>
      </c>
      <c r="E38" s="97" t="s">
        <v>278</v>
      </c>
      <c r="F38" s="98" t="s">
        <v>279</v>
      </c>
      <c r="G38" s="24" t="s">
        <v>49</v>
      </c>
      <c r="H38" s="22"/>
      <c r="I38" s="22"/>
      <c r="J38" s="22"/>
      <c r="K38" s="22"/>
    </row>
    <row r="39" spans="1:11" x14ac:dyDescent="0.25">
      <c r="A39" s="22"/>
      <c r="B39" s="22"/>
      <c r="C39" s="25"/>
      <c r="D39" s="8" t="s">
        <v>274</v>
      </c>
      <c r="E39" s="25">
        <f t="shared" ref="E39:E52" si="0">LEN(D39)</f>
        <v>5</v>
      </c>
      <c r="F39" s="25">
        <v>0</v>
      </c>
      <c r="G39" s="22" t="s">
        <v>50</v>
      </c>
      <c r="H39" s="22"/>
      <c r="I39" s="399" t="s">
        <v>47</v>
      </c>
      <c r="J39" s="399"/>
      <c r="K39" s="399"/>
    </row>
    <row r="40" spans="1:11" x14ac:dyDescent="0.25">
      <c r="A40" s="22"/>
      <c r="B40" s="22"/>
      <c r="C40" s="26">
        <v>300</v>
      </c>
      <c r="D40" s="22" t="s">
        <v>181</v>
      </c>
      <c r="E40" s="25">
        <f t="shared" si="0"/>
        <v>7</v>
      </c>
      <c r="F40" s="25">
        <v>24</v>
      </c>
      <c r="G40" s="22" t="s">
        <v>51</v>
      </c>
      <c r="H40" s="22"/>
      <c r="I40" s="25"/>
      <c r="J40" s="25"/>
      <c r="K40" s="25"/>
    </row>
    <row r="41" spans="1:11" x14ac:dyDescent="0.25">
      <c r="A41" s="22" t="s">
        <v>4</v>
      </c>
      <c r="B41" s="27">
        <v>10</v>
      </c>
      <c r="C41" s="28">
        <v>500</v>
      </c>
      <c r="D41" s="22" t="s">
        <v>20</v>
      </c>
      <c r="E41" s="25">
        <f t="shared" si="0"/>
        <v>8</v>
      </c>
      <c r="F41" s="25">
        <v>15</v>
      </c>
      <c r="G41" s="22" t="s">
        <v>44</v>
      </c>
      <c r="H41" s="22"/>
      <c r="I41" s="25" t="s">
        <v>59</v>
      </c>
      <c r="J41" s="25">
        <f>LEN(I41)</f>
        <v>1</v>
      </c>
      <c r="K41" s="25">
        <v>2</v>
      </c>
    </row>
    <row r="42" spans="1:11" x14ac:dyDescent="0.25">
      <c r="A42" s="22" t="s">
        <v>5</v>
      </c>
      <c r="B42" s="27">
        <v>12</v>
      </c>
      <c r="C42" s="28">
        <v>1000</v>
      </c>
      <c r="D42" s="25" t="s">
        <v>164</v>
      </c>
      <c r="E42" s="25">
        <f t="shared" si="0"/>
        <v>9</v>
      </c>
      <c r="F42" s="25">
        <v>3</v>
      </c>
      <c r="G42" s="22"/>
      <c r="H42" s="22"/>
      <c r="I42" s="25" t="s">
        <v>60</v>
      </c>
      <c r="J42" s="25">
        <f>LEN(I42)</f>
        <v>2</v>
      </c>
      <c r="K42" s="25">
        <v>3</v>
      </c>
    </row>
    <row r="43" spans="1:11" x14ac:dyDescent="0.25">
      <c r="A43" s="22" t="s">
        <v>12</v>
      </c>
      <c r="B43" s="27">
        <v>15</v>
      </c>
      <c r="C43" s="28">
        <v>2500</v>
      </c>
      <c r="D43" t="s">
        <v>29</v>
      </c>
      <c r="E43" s="25">
        <f t="shared" si="0"/>
        <v>11</v>
      </c>
      <c r="F43" s="25">
        <v>6</v>
      </c>
      <c r="G43" s="24" t="s">
        <v>55</v>
      </c>
      <c r="H43" s="22"/>
      <c r="I43" s="25" t="s">
        <v>61</v>
      </c>
      <c r="J43" s="25">
        <f>LEN(I43)</f>
        <v>3</v>
      </c>
      <c r="K43" s="25">
        <v>4</v>
      </c>
    </row>
    <row r="44" spans="1:11" x14ac:dyDescent="0.25">
      <c r="A44" s="22"/>
      <c r="B44" s="27">
        <v>18</v>
      </c>
      <c r="C44" s="28">
        <v>5000</v>
      </c>
      <c r="D44" s="25" t="s">
        <v>53</v>
      </c>
      <c r="E44" s="25">
        <f t="shared" si="0"/>
        <v>12</v>
      </c>
      <c r="F44" s="25">
        <v>0</v>
      </c>
      <c r="G44" s="29">
        <v>100</v>
      </c>
      <c r="H44" s="22"/>
      <c r="I44" s="22"/>
      <c r="J44" s="22"/>
      <c r="K44" s="22"/>
    </row>
    <row r="45" spans="1:11" x14ac:dyDescent="0.25">
      <c r="A45" s="22"/>
      <c r="B45" s="27">
        <v>20</v>
      </c>
      <c r="C45" s="28">
        <v>10000</v>
      </c>
      <c r="D45" s="8" t="s">
        <v>28</v>
      </c>
      <c r="E45" s="25">
        <f t="shared" si="0"/>
        <v>13</v>
      </c>
      <c r="F45" s="25">
        <v>3</v>
      </c>
      <c r="G45" s="29">
        <v>200</v>
      </c>
      <c r="H45" s="22"/>
      <c r="I45" s="22"/>
      <c r="J45" s="22"/>
      <c r="K45" s="22"/>
    </row>
    <row r="46" spans="1:11" x14ac:dyDescent="0.25">
      <c r="A46" s="22"/>
      <c r="B46" s="27">
        <v>21</v>
      </c>
      <c r="C46" s="28">
        <v>15000</v>
      </c>
      <c r="D46" s="25" t="s">
        <v>27</v>
      </c>
      <c r="E46" s="25">
        <f t="shared" si="0"/>
        <v>14</v>
      </c>
      <c r="F46" s="25">
        <v>9</v>
      </c>
      <c r="G46" s="29">
        <v>500</v>
      </c>
      <c r="H46" s="22"/>
      <c r="I46" s="399" t="s">
        <v>62</v>
      </c>
      <c r="J46" s="399"/>
      <c r="K46" s="399"/>
    </row>
    <row r="47" spans="1:11" x14ac:dyDescent="0.25">
      <c r="A47" s="22"/>
      <c r="B47" s="27">
        <v>24</v>
      </c>
      <c r="C47" s="28">
        <v>30000</v>
      </c>
      <c r="D47" s="25" t="s">
        <v>165</v>
      </c>
      <c r="E47" s="25">
        <f t="shared" si="0"/>
        <v>15</v>
      </c>
      <c r="F47" s="25">
        <v>9</v>
      </c>
      <c r="G47" s="22"/>
      <c r="H47" s="22"/>
      <c r="I47" s="25"/>
      <c r="J47" s="25"/>
      <c r="K47" s="25"/>
    </row>
    <row r="48" spans="1:11" x14ac:dyDescent="0.25">
      <c r="A48" s="22"/>
      <c r="B48" s="27">
        <v>28</v>
      </c>
      <c r="C48" s="22"/>
      <c r="D48" s="25" t="s">
        <v>268</v>
      </c>
      <c r="E48" s="25">
        <f t="shared" si="0"/>
        <v>16</v>
      </c>
      <c r="F48" s="25">
        <v>15</v>
      </c>
      <c r="G48" s="22"/>
      <c r="H48" s="22"/>
      <c r="I48" s="30" t="s">
        <v>69</v>
      </c>
      <c r="J48" s="25">
        <f>LEN(I48)</f>
        <v>1</v>
      </c>
      <c r="K48" s="25">
        <v>2</v>
      </c>
    </row>
    <row r="49" spans="1:14" x14ac:dyDescent="0.25">
      <c r="A49" s="22"/>
      <c r="B49" s="27">
        <v>30</v>
      </c>
      <c r="C49" s="22"/>
      <c r="D49" s="25" t="s">
        <v>276</v>
      </c>
      <c r="E49" s="25">
        <f t="shared" si="0"/>
        <v>17</v>
      </c>
      <c r="F49" s="25">
        <v>21</v>
      </c>
      <c r="G49" s="22"/>
      <c r="H49" s="22"/>
      <c r="I49" s="30" t="s">
        <v>70</v>
      </c>
      <c r="J49" s="25">
        <f>LEN(I49)</f>
        <v>2</v>
      </c>
      <c r="K49" s="25">
        <v>3</v>
      </c>
    </row>
    <row r="50" spans="1:14" x14ac:dyDescent="0.25">
      <c r="A50" s="22"/>
      <c r="B50" s="27">
        <v>33</v>
      </c>
      <c r="C50" s="22"/>
      <c r="D50" s="25" t="s">
        <v>275</v>
      </c>
      <c r="E50" s="25">
        <f t="shared" si="0"/>
        <v>18</v>
      </c>
      <c r="F50" s="25">
        <v>12</v>
      </c>
      <c r="G50" s="22"/>
      <c r="H50" s="22"/>
      <c r="I50" s="30" t="s">
        <v>71</v>
      </c>
      <c r="J50" s="25">
        <f>LEN(I50)</f>
        <v>3</v>
      </c>
      <c r="K50" s="25">
        <v>4</v>
      </c>
    </row>
    <row r="51" spans="1:14" x14ac:dyDescent="0.25">
      <c r="A51" s="22"/>
      <c r="B51" s="27">
        <v>40</v>
      </c>
      <c r="C51" s="22"/>
      <c r="D51" s="25" t="s">
        <v>277</v>
      </c>
      <c r="E51" s="25">
        <f t="shared" si="0"/>
        <v>19</v>
      </c>
      <c r="F51" s="25">
        <v>24</v>
      </c>
      <c r="G51" s="22"/>
      <c r="H51" s="22"/>
      <c r="I51" s="30" t="s">
        <v>72</v>
      </c>
      <c r="J51" s="25">
        <f>LEN(I51)</f>
        <v>4</v>
      </c>
      <c r="K51" s="22">
        <v>5</v>
      </c>
    </row>
    <row r="52" spans="1:14" x14ac:dyDescent="0.25">
      <c r="A52" s="22"/>
      <c r="B52" s="27">
        <v>50</v>
      </c>
      <c r="C52" s="22"/>
      <c r="D52" s="25" t="s">
        <v>21</v>
      </c>
      <c r="E52" s="25">
        <f t="shared" si="0"/>
        <v>21</v>
      </c>
      <c r="F52" s="25">
        <v>15</v>
      </c>
      <c r="G52" s="22"/>
      <c r="H52" s="22"/>
      <c r="I52" s="30" t="s">
        <v>73</v>
      </c>
      <c r="J52" s="25">
        <f>LEN(I52)</f>
        <v>5</v>
      </c>
      <c r="K52" s="22">
        <v>6</v>
      </c>
    </row>
    <row r="53" spans="1:14" x14ac:dyDescent="0.25">
      <c r="A53" s="22"/>
      <c r="B53" s="27">
        <v>67</v>
      </c>
      <c r="C53" s="22"/>
      <c r="D53" s="25"/>
      <c r="E53" s="25">
        <f t="shared" ref="E53:E60" si="1">LEN(D53)</f>
        <v>0</v>
      </c>
      <c r="F53" s="25"/>
      <c r="G53" s="22"/>
      <c r="H53" s="22"/>
      <c r="I53" s="22"/>
      <c r="J53" s="22"/>
      <c r="K53" s="22"/>
    </row>
    <row r="54" spans="1:14" x14ac:dyDescent="0.25">
      <c r="A54" s="22"/>
      <c r="B54" s="22"/>
      <c r="C54" s="22"/>
      <c r="D54" s="25"/>
      <c r="E54" s="25">
        <f t="shared" si="1"/>
        <v>0</v>
      </c>
      <c r="F54" s="25"/>
      <c r="G54" s="22"/>
      <c r="H54" s="22"/>
      <c r="I54" s="22"/>
      <c r="J54" s="22"/>
      <c r="K54" s="22"/>
    </row>
    <row r="55" spans="1:14" x14ac:dyDescent="0.25">
      <c r="A55" s="22"/>
      <c r="B55" s="22"/>
      <c r="C55" s="22"/>
      <c r="D55" s="25"/>
      <c r="E55" s="25">
        <f t="shared" si="1"/>
        <v>0</v>
      </c>
      <c r="F55" s="25"/>
      <c r="G55" s="22"/>
      <c r="H55" s="22"/>
      <c r="I55" s="22"/>
      <c r="J55" s="22"/>
      <c r="K55" s="22"/>
    </row>
    <row r="56" spans="1:14" x14ac:dyDescent="0.25">
      <c r="A56" s="22"/>
      <c r="B56" s="22"/>
      <c r="C56" s="22"/>
      <c r="D56" s="25"/>
      <c r="E56" s="25">
        <f t="shared" si="1"/>
        <v>0</v>
      </c>
      <c r="F56" s="25"/>
      <c r="G56" s="22"/>
      <c r="H56" s="22"/>
      <c r="I56" s="22"/>
      <c r="J56" s="22"/>
      <c r="K56" s="22"/>
    </row>
    <row r="57" spans="1:14" x14ac:dyDescent="0.25">
      <c r="A57" s="19"/>
      <c r="B57" s="19"/>
      <c r="C57" s="19"/>
      <c r="D57" s="25"/>
      <c r="E57" s="25">
        <f t="shared" si="1"/>
        <v>0</v>
      </c>
      <c r="F57" s="25"/>
      <c r="G57" s="19"/>
      <c r="H57" s="19"/>
      <c r="I57" s="19"/>
      <c r="J57" s="19"/>
      <c r="K57" s="19"/>
    </row>
    <row r="58" spans="1:14" x14ac:dyDescent="0.25">
      <c r="A58" s="19"/>
      <c r="B58" s="19"/>
      <c r="C58" s="19"/>
      <c r="D58" s="25"/>
      <c r="E58" s="25">
        <f t="shared" si="1"/>
        <v>0</v>
      </c>
      <c r="F58" s="25"/>
      <c r="G58" s="19"/>
      <c r="H58" s="19"/>
      <c r="I58" s="19"/>
      <c r="J58" s="19"/>
      <c r="K58" s="19"/>
    </row>
    <row r="59" spans="1:14" x14ac:dyDescent="0.25">
      <c r="A59" s="19"/>
      <c r="B59" s="19"/>
      <c r="C59" s="19"/>
      <c r="D59" s="25"/>
      <c r="E59" s="25">
        <f t="shared" si="1"/>
        <v>0</v>
      </c>
      <c r="F59" s="25"/>
      <c r="G59" s="19"/>
      <c r="H59" s="19"/>
      <c r="I59" s="19"/>
      <c r="J59" s="19"/>
      <c r="K59" s="19"/>
      <c r="M59" s="47"/>
      <c r="N59" s="22"/>
    </row>
    <row r="60" spans="1:14" x14ac:dyDescent="0.25">
      <c r="A60" s="19"/>
      <c r="B60" s="19"/>
      <c r="C60" s="19"/>
      <c r="D60" s="25"/>
      <c r="E60" s="25">
        <f t="shared" si="1"/>
        <v>0</v>
      </c>
      <c r="F60" s="25"/>
      <c r="G60" s="19"/>
      <c r="H60" s="19"/>
      <c r="I60" s="19"/>
      <c r="J60" s="19"/>
      <c r="K60" s="19"/>
      <c r="N60" s="22"/>
    </row>
    <row r="61" spans="1:14" x14ac:dyDescent="0.25">
      <c r="A61" s="19"/>
      <c r="B61" s="19"/>
      <c r="C61" s="19"/>
      <c r="G61" s="19"/>
      <c r="H61" s="19"/>
      <c r="I61" s="19"/>
      <c r="J61" s="19"/>
      <c r="K61" s="19"/>
      <c r="N61" s="22"/>
    </row>
    <row r="62" spans="1:14" x14ac:dyDescent="0.25">
      <c r="A62" s="19"/>
      <c r="B62" s="19"/>
      <c r="C62" s="19"/>
      <c r="G62" s="19"/>
      <c r="H62" s="19"/>
      <c r="I62" s="19"/>
      <c r="J62" s="19"/>
      <c r="K62" s="19"/>
      <c r="M62" s="22"/>
      <c r="N62" s="22"/>
    </row>
    <row r="63" spans="1:14" x14ac:dyDescent="0.25">
      <c r="A63" s="19"/>
      <c r="B63" s="19"/>
      <c r="C63" s="19"/>
      <c r="G63" s="19"/>
      <c r="H63" s="19"/>
      <c r="I63" s="19"/>
      <c r="J63" s="19"/>
      <c r="K63" s="19"/>
      <c r="M63" s="22"/>
      <c r="N63" s="22"/>
    </row>
    <row r="64" spans="1:14" x14ac:dyDescent="0.25">
      <c r="A64" s="19"/>
      <c r="B64" s="19"/>
      <c r="C64" s="19"/>
      <c r="G64" s="19"/>
      <c r="H64" s="19"/>
      <c r="I64" s="19"/>
      <c r="J64" s="19"/>
      <c r="K64" s="19"/>
      <c r="N64" s="22"/>
    </row>
    <row r="65" spans="1:15" x14ac:dyDescent="0.25">
      <c r="A65" s="19"/>
      <c r="B65" s="19"/>
      <c r="C65" s="19"/>
      <c r="G65" s="19"/>
      <c r="H65" s="19"/>
      <c r="I65" s="19"/>
      <c r="J65" s="19"/>
      <c r="K65" s="19"/>
      <c r="M65" s="22"/>
      <c r="N65" s="22"/>
      <c r="O65" s="22"/>
    </row>
    <row r="66" spans="1:15" x14ac:dyDescent="0.25">
      <c r="A66" s="19"/>
      <c r="B66" s="19"/>
      <c r="C66" s="19"/>
      <c r="G66" s="19"/>
      <c r="H66" s="19"/>
      <c r="I66" s="19"/>
      <c r="J66" s="19"/>
      <c r="K66" s="19"/>
      <c r="M66" s="22"/>
      <c r="N66" s="22"/>
      <c r="O66" s="22"/>
    </row>
    <row r="67" spans="1:15" x14ac:dyDescent="0.25">
      <c r="A67" s="19"/>
      <c r="B67" s="19"/>
      <c r="C67" s="19"/>
      <c r="G67" s="19"/>
      <c r="H67" s="19"/>
      <c r="I67" s="19"/>
      <c r="J67" s="19"/>
      <c r="K67" s="19"/>
      <c r="M67" s="22"/>
      <c r="N67" s="22"/>
      <c r="O67" s="22"/>
    </row>
    <row r="68" spans="1:15" x14ac:dyDescent="0.25">
      <c r="A68" s="19"/>
      <c r="B68" s="19"/>
      <c r="C68" s="19"/>
      <c r="G68" s="19"/>
      <c r="H68" s="19"/>
      <c r="I68" s="19"/>
      <c r="J68" s="19"/>
      <c r="K68" s="19"/>
      <c r="M68" s="22"/>
      <c r="N68" s="22"/>
      <c r="O68" s="22"/>
    </row>
    <row r="69" spans="1:15" x14ac:dyDescent="0.25">
      <c r="A69" s="19"/>
      <c r="B69" s="19"/>
      <c r="C69" s="19"/>
      <c r="G69" s="19"/>
      <c r="H69" s="19"/>
      <c r="I69" s="19"/>
      <c r="J69" s="19"/>
      <c r="K69" s="19"/>
      <c r="M69" s="22"/>
      <c r="N69" s="22"/>
      <c r="O69" s="22"/>
    </row>
    <row r="70" spans="1:15" x14ac:dyDescent="0.25">
      <c r="A70" s="19"/>
      <c r="B70" s="19"/>
      <c r="C70" s="19"/>
      <c r="G70" s="19"/>
      <c r="H70" s="19"/>
      <c r="I70" s="19"/>
      <c r="J70" s="19"/>
      <c r="K70" s="19"/>
      <c r="M70" s="22"/>
      <c r="N70" s="22"/>
      <c r="O70" s="22"/>
    </row>
    <row r="71" spans="1:15" x14ac:dyDescent="0.25">
      <c r="A71" s="19"/>
      <c r="B71" s="19"/>
      <c r="C71" s="19"/>
      <c r="G71" s="19"/>
      <c r="H71" s="19"/>
      <c r="I71" s="19"/>
      <c r="J71" s="19"/>
      <c r="K71" s="19"/>
      <c r="M71" s="22"/>
      <c r="N71" s="22"/>
      <c r="O71" s="22"/>
    </row>
    <row r="72" spans="1:15" x14ac:dyDescent="0.25">
      <c r="A72" s="19"/>
      <c r="B72" s="19"/>
      <c r="C72" s="19"/>
      <c r="G72" s="19"/>
      <c r="H72" s="19"/>
      <c r="I72" s="19"/>
      <c r="J72" s="19"/>
      <c r="K72" s="19"/>
      <c r="M72" s="22"/>
      <c r="N72" s="22"/>
      <c r="O72" s="22"/>
    </row>
    <row r="73" spans="1:15" x14ac:dyDescent="0.25">
      <c r="A73" s="19"/>
      <c r="B73" s="19"/>
      <c r="C73" s="19"/>
      <c r="G73" s="19"/>
      <c r="H73" s="19"/>
      <c r="I73" s="19"/>
      <c r="J73" s="19"/>
      <c r="K73" s="19"/>
    </row>
    <row r="74" spans="1:15" x14ac:dyDescent="0.25">
      <c r="A74" s="19"/>
      <c r="B74" s="19"/>
      <c r="C74" s="19"/>
      <c r="G74" s="19"/>
      <c r="H74" s="19"/>
      <c r="I74" s="19"/>
      <c r="J74" s="19"/>
      <c r="K74" s="19"/>
    </row>
    <row r="75" spans="1:15" x14ac:dyDescent="0.25">
      <c r="A75" s="19"/>
      <c r="B75" s="19"/>
      <c r="C75" s="19"/>
      <c r="G75" s="19"/>
      <c r="H75" s="19"/>
      <c r="I75" s="19"/>
      <c r="J75" s="19"/>
      <c r="K75" s="19"/>
    </row>
    <row r="76" spans="1:15" x14ac:dyDescent="0.25">
      <c r="A76" s="19"/>
      <c r="B76" s="19"/>
      <c r="C76" s="19"/>
      <c r="G76" s="19"/>
      <c r="H76" s="19"/>
      <c r="I76" s="19"/>
      <c r="J76" s="19"/>
      <c r="K76" s="19"/>
    </row>
    <row r="77" spans="1:15" x14ac:dyDescent="0.25">
      <c r="A77" s="19"/>
      <c r="B77" s="19"/>
      <c r="C77" s="19"/>
      <c r="G77" s="19"/>
      <c r="H77" s="19"/>
      <c r="I77" s="19"/>
      <c r="J77" s="19"/>
      <c r="K77" s="19"/>
    </row>
    <row r="78" spans="1:15" x14ac:dyDescent="0.25">
      <c r="A78" s="19"/>
      <c r="B78" s="19"/>
      <c r="C78" s="19"/>
      <c r="D78" s="19"/>
      <c r="E78" s="19"/>
      <c r="F78" s="19"/>
      <c r="G78" s="19"/>
      <c r="H78" s="19"/>
      <c r="I78" s="19"/>
      <c r="J78" s="19"/>
      <c r="K78" s="19"/>
    </row>
    <row r="79" spans="1:15" x14ac:dyDescent="0.25">
      <c r="A79" s="19"/>
      <c r="B79" s="19"/>
      <c r="C79" s="19"/>
      <c r="D79" s="19"/>
      <c r="E79" s="19"/>
      <c r="F79" s="19"/>
      <c r="G79" s="19"/>
      <c r="H79" s="19"/>
      <c r="I79" s="19"/>
      <c r="J79" s="19"/>
      <c r="K79" s="19"/>
    </row>
    <row r="80" spans="1:15" x14ac:dyDescent="0.25">
      <c r="A80" s="19"/>
      <c r="B80" s="19"/>
      <c r="C80" s="19"/>
      <c r="D80" s="19"/>
      <c r="E80" s="19"/>
      <c r="F80" s="19"/>
      <c r="G80" s="19"/>
      <c r="H80" s="19"/>
      <c r="I80" s="19"/>
      <c r="J80" s="19"/>
      <c r="K80" s="19"/>
    </row>
    <row r="81" spans="1:11" x14ac:dyDescent="0.25">
      <c r="A81" s="19"/>
      <c r="B81" s="19"/>
      <c r="C81" s="19"/>
      <c r="D81" s="19"/>
      <c r="E81" s="19"/>
      <c r="F81" s="19"/>
      <c r="G81" s="19"/>
      <c r="H81" s="19"/>
      <c r="I81" s="19"/>
      <c r="J81" s="19"/>
      <c r="K81" s="19"/>
    </row>
    <row r="82" spans="1:11" x14ac:dyDescent="0.25">
      <c r="A82" s="19"/>
      <c r="B82" s="19"/>
      <c r="C82" s="19"/>
      <c r="D82" s="19"/>
      <c r="E82" s="19"/>
      <c r="F82" s="19"/>
      <c r="G82" s="19"/>
      <c r="H82" s="19"/>
      <c r="I82" s="19"/>
      <c r="J82" s="19"/>
      <c r="K82" s="19"/>
    </row>
    <row r="83" spans="1:11" x14ac:dyDescent="0.25">
      <c r="A83" s="19"/>
      <c r="B83" s="19"/>
      <c r="C83" s="19"/>
      <c r="D83" s="19"/>
      <c r="E83" s="19"/>
      <c r="F83" s="19"/>
      <c r="G83" s="19"/>
      <c r="H83" s="19"/>
      <c r="I83" s="19"/>
      <c r="J83" s="19"/>
      <c r="K83" s="19"/>
    </row>
    <row r="84" spans="1:11" x14ac:dyDescent="0.25">
      <c r="A84" s="19"/>
      <c r="B84" s="19"/>
      <c r="C84" s="19"/>
      <c r="D84" s="19"/>
      <c r="E84" s="19"/>
      <c r="F84" s="19"/>
      <c r="G84" s="19"/>
      <c r="H84" s="19"/>
      <c r="I84" s="19"/>
      <c r="J84" s="19"/>
      <c r="K84" s="19"/>
    </row>
    <row r="85" spans="1:11" x14ac:dyDescent="0.25">
      <c r="A85" s="19"/>
      <c r="B85" s="19"/>
      <c r="C85" s="19"/>
      <c r="D85" s="19"/>
      <c r="E85" s="19"/>
      <c r="F85" s="19"/>
      <c r="G85" s="19"/>
      <c r="H85" s="19"/>
      <c r="I85" s="19"/>
      <c r="J85" s="19"/>
      <c r="K85" s="19"/>
    </row>
    <row r="86" spans="1:11" x14ac:dyDescent="0.25">
      <c r="A86" s="19"/>
      <c r="B86" s="19"/>
      <c r="C86" s="19"/>
      <c r="D86" s="19"/>
      <c r="E86" s="19"/>
      <c r="F86" s="19"/>
      <c r="G86" s="19"/>
      <c r="H86" s="19"/>
      <c r="I86" s="19"/>
      <c r="J86" s="19"/>
      <c r="K86" s="19"/>
    </row>
    <row r="87" spans="1:11" x14ac:dyDescent="0.25">
      <c r="A87" s="19"/>
      <c r="B87" s="19"/>
      <c r="C87" s="19"/>
      <c r="D87" s="19"/>
      <c r="E87" s="19"/>
      <c r="F87" s="19"/>
      <c r="G87" s="19"/>
      <c r="H87" s="19"/>
      <c r="I87" s="19"/>
      <c r="J87" s="19"/>
      <c r="K87" s="19"/>
    </row>
    <row r="88" spans="1:11" x14ac:dyDescent="0.25">
      <c r="A88" s="19"/>
      <c r="B88" s="19"/>
      <c r="C88" s="19"/>
      <c r="D88" s="19"/>
      <c r="E88" s="19"/>
      <c r="F88" s="19"/>
      <c r="G88" s="19"/>
      <c r="H88" s="19"/>
      <c r="I88" s="19"/>
      <c r="J88" s="19"/>
      <c r="K88" s="19"/>
    </row>
    <row r="89" spans="1:11" x14ac:dyDescent="0.25">
      <c r="A89" s="19"/>
      <c r="B89" s="19"/>
      <c r="C89" s="19"/>
      <c r="D89" s="19"/>
      <c r="E89" s="19"/>
      <c r="F89" s="19"/>
      <c r="G89" s="19"/>
      <c r="H89" s="19"/>
      <c r="I89" s="19"/>
      <c r="J89" s="19"/>
      <c r="K89" s="19"/>
    </row>
    <row r="90" spans="1:11" x14ac:dyDescent="0.25">
      <c r="A90" s="19"/>
      <c r="B90" s="19"/>
      <c r="C90" s="19"/>
      <c r="D90" s="19"/>
      <c r="E90" s="19"/>
      <c r="F90" s="19"/>
      <c r="G90" s="19"/>
      <c r="H90" s="19"/>
      <c r="I90" s="19"/>
      <c r="J90" s="19"/>
      <c r="K90" s="19"/>
    </row>
    <row r="91" spans="1:11" x14ac:dyDescent="0.25">
      <c r="A91" s="19"/>
      <c r="B91" s="19"/>
      <c r="C91" s="19"/>
      <c r="D91" s="19"/>
      <c r="E91" s="19"/>
      <c r="F91" s="19"/>
      <c r="G91" s="19"/>
      <c r="H91" s="19"/>
      <c r="I91" s="19"/>
      <c r="J91" s="19"/>
      <c r="K91" s="19"/>
    </row>
    <row r="92" spans="1:11" x14ac:dyDescent="0.25">
      <c r="A92" s="19"/>
      <c r="B92" s="19"/>
      <c r="C92" s="19"/>
      <c r="D92" s="19"/>
      <c r="E92" s="19"/>
      <c r="F92" s="19"/>
      <c r="G92" s="19"/>
      <c r="H92" s="19"/>
      <c r="I92" s="19"/>
      <c r="J92" s="19"/>
      <c r="K92" s="19"/>
    </row>
    <row r="93" spans="1:11" x14ac:dyDescent="0.25">
      <c r="A93" s="19"/>
      <c r="B93" s="19"/>
      <c r="C93" s="19"/>
      <c r="D93" s="19"/>
      <c r="E93" s="19"/>
      <c r="F93" s="19"/>
      <c r="G93" s="19"/>
      <c r="H93" s="19"/>
      <c r="I93" s="19"/>
      <c r="J93" s="19"/>
      <c r="K93" s="19"/>
    </row>
    <row r="94" spans="1:11" x14ac:dyDescent="0.25">
      <c r="A94" s="19"/>
      <c r="B94" s="19"/>
      <c r="C94" s="19"/>
      <c r="D94" s="19"/>
      <c r="E94" s="19"/>
      <c r="F94" s="19"/>
      <c r="G94" s="19"/>
      <c r="H94" s="19"/>
      <c r="I94" s="19"/>
      <c r="J94" s="19"/>
      <c r="K94" s="19"/>
    </row>
    <row r="95" spans="1:11" x14ac:dyDescent="0.25">
      <c r="A95" s="19"/>
      <c r="B95" s="19"/>
      <c r="C95" s="19"/>
      <c r="D95" s="19"/>
      <c r="E95" s="19"/>
      <c r="F95" s="19"/>
      <c r="G95" s="19"/>
      <c r="H95" s="19"/>
      <c r="I95" s="19"/>
      <c r="J95" s="19"/>
      <c r="K95" s="19"/>
    </row>
    <row r="96" spans="1:11" x14ac:dyDescent="0.25">
      <c r="A96" s="19"/>
      <c r="B96" s="19"/>
      <c r="C96" s="19"/>
      <c r="D96" s="19"/>
      <c r="E96" s="19"/>
      <c r="F96" s="19"/>
      <c r="G96" s="19"/>
      <c r="H96" s="19"/>
      <c r="I96" s="19"/>
      <c r="J96" s="19"/>
      <c r="K96" s="19"/>
    </row>
    <row r="97" spans="1:11" x14ac:dyDescent="0.25">
      <c r="A97" s="19"/>
      <c r="B97" s="19"/>
      <c r="C97" s="19"/>
      <c r="D97" s="19"/>
      <c r="E97" s="19"/>
      <c r="F97" s="19"/>
      <c r="G97" s="19"/>
      <c r="H97" s="19"/>
      <c r="I97" s="19"/>
      <c r="J97" s="19"/>
      <c r="K97" s="19"/>
    </row>
    <row r="98" spans="1:11" x14ac:dyDescent="0.25">
      <c r="A98" s="19"/>
      <c r="B98" s="19"/>
      <c r="C98" s="19"/>
      <c r="D98" s="19"/>
      <c r="E98" s="19"/>
      <c r="F98" s="19"/>
      <c r="G98" s="19"/>
      <c r="H98" s="19"/>
      <c r="I98" s="19"/>
      <c r="J98" s="19"/>
      <c r="K98" s="19"/>
    </row>
    <row r="99" spans="1:11" x14ac:dyDescent="0.25">
      <c r="A99" s="19"/>
      <c r="B99" s="19"/>
      <c r="C99" s="19"/>
      <c r="D99" s="19"/>
      <c r="E99" s="19"/>
      <c r="F99" s="19"/>
      <c r="G99" s="19"/>
      <c r="H99" s="19"/>
      <c r="I99" s="19"/>
      <c r="J99" s="19"/>
      <c r="K99" s="19"/>
    </row>
    <row r="100" spans="1:11" x14ac:dyDescent="0.25">
      <c r="A100" s="19"/>
      <c r="B100" s="19"/>
      <c r="C100" s="19"/>
      <c r="D100" s="19"/>
      <c r="E100" s="19"/>
      <c r="F100" s="19"/>
      <c r="G100" s="19"/>
      <c r="H100" s="19"/>
      <c r="I100" s="19"/>
      <c r="J100" s="19"/>
      <c r="K100" s="19"/>
    </row>
    <row r="101" spans="1:11" x14ac:dyDescent="0.25">
      <c r="A101" s="19"/>
      <c r="B101" s="19"/>
      <c r="C101" s="19"/>
      <c r="D101" s="19"/>
      <c r="E101" s="19"/>
      <c r="F101" s="19"/>
      <c r="G101" s="19"/>
      <c r="H101" s="19"/>
      <c r="I101" s="19"/>
      <c r="J101" s="19"/>
      <c r="K101" s="19"/>
    </row>
    <row r="102" spans="1:11" x14ac:dyDescent="0.25">
      <c r="A102" s="19"/>
      <c r="B102" s="19"/>
      <c r="C102" s="19"/>
      <c r="D102" s="19"/>
      <c r="E102" s="19"/>
      <c r="F102" s="19"/>
      <c r="G102" s="19"/>
      <c r="H102" s="19"/>
      <c r="I102" s="19"/>
      <c r="J102" s="19"/>
      <c r="K102" s="19"/>
    </row>
    <row r="103" spans="1:11" x14ac:dyDescent="0.25">
      <c r="A103" s="19"/>
      <c r="B103" s="19"/>
      <c r="C103" s="19"/>
      <c r="D103" s="19"/>
      <c r="E103" s="19"/>
      <c r="F103" s="19"/>
      <c r="G103" s="19"/>
      <c r="H103" s="19"/>
      <c r="I103" s="19"/>
      <c r="J103" s="19"/>
      <c r="K103" s="19"/>
    </row>
    <row r="104" spans="1:11" x14ac:dyDescent="0.25">
      <c r="A104" s="19"/>
      <c r="B104" s="19"/>
      <c r="C104" s="19"/>
      <c r="D104" s="19"/>
      <c r="E104" s="19"/>
      <c r="F104" s="19"/>
      <c r="G104" s="19"/>
      <c r="H104" s="19"/>
      <c r="I104" s="19"/>
      <c r="J104" s="19"/>
      <c r="K104" s="19"/>
    </row>
    <row r="105" spans="1:11" x14ac:dyDescent="0.25">
      <c r="A105" s="19"/>
      <c r="B105" s="19"/>
      <c r="C105" s="19"/>
      <c r="D105" s="19"/>
      <c r="E105" s="19"/>
      <c r="F105" s="19"/>
      <c r="G105" s="19"/>
      <c r="H105" s="19"/>
      <c r="I105" s="19"/>
      <c r="J105" s="19"/>
      <c r="K105" s="19"/>
    </row>
    <row r="106" spans="1:11" x14ac:dyDescent="0.25">
      <c r="A106" s="19"/>
      <c r="B106" s="19"/>
      <c r="C106" s="19"/>
      <c r="D106" s="19"/>
      <c r="E106" s="19"/>
      <c r="F106" s="19"/>
      <c r="G106" s="19"/>
      <c r="H106" s="19"/>
      <c r="I106" s="19"/>
      <c r="J106" s="19"/>
      <c r="K106" s="19"/>
    </row>
    <row r="107" spans="1:11" x14ac:dyDescent="0.25">
      <c r="A107" s="19"/>
      <c r="B107" s="19"/>
      <c r="C107" s="19"/>
      <c r="D107" s="19"/>
      <c r="E107" s="19"/>
      <c r="F107" s="19"/>
      <c r="G107" s="19"/>
      <c r="H107" s="19"/>
      <c r="I107" s="19"/>
      <c r="J107" s="19"/>
      <c r="K107" s="19"/>
    </row>
    <row r="108" spans="1:11" x14ac:dyDescent="0.25">
      <c r="A108" s="19"/>
      <c r="B108" s="19"/>
      <c r="C108" s="19"/>
      <c r="D108" s="19"/>
      <c r="E108" s="19"/>
      <c r="F108" s="19"/>
      <c r="G108" s="19"/>
      <c r="H108" s="19"/>
      <c r="I108" s="19"/>
      <c r="J108" s="19"/>
      <c r="K108" s="19"/>
    </row>
    <row r="109" spans="1:11" x14ac:dyDescent="0.25">
      <c r="A109" s="19"/>
      <c r="B109" s="19"/>
      <c r="C109" s="19"/>
      <c r="D109" s="19"/>
      <c r="E109" s="19"/>
      <c r="F109" s="19"/>
      <c r="G109" s="19"/>
      <c r="H109" s="19"/>
      <c r="I109" s="19"/>
      <c r="J109" s="19"/>
      <c r="K109" s="19"/>
    </row>
    <row r="110" spans="1:11" x14ac:dyDescent="0.25">
      <c r="A110" s="19"/>
      <c r="B110" s="19"/>
      <c r="C110" s="19"/>
      <c r="D110" s="19"/>
      <c r="E110" s="19"/>
      <c r="F110" s="19"/>
      <c r="G110" s="19"/>
      <c r="H110" s="19"/>
      <c r="I110" s="19"/>
      <c r="J110" s="19"/>
      <c r="K110" s="19"/>
    </row>
    <row r="111" spans="1:11" x14ac:dyDescent="0.25">
      <c r="A111" s="19"/>
      <c r="B111" s="19"/>
      <c r="C111" s="19"/>
      <c r="D111" s="19"/>
      <c r="E111" s="19"/>
      <c r="F111" s="19"/>
      <c r="G111" s="19"/>
      <c r="H111" s="19"/>
      <c r="I111" s="19"/>
      <c r="J111" s="19"/>
      <c r="K111" s="19"/>
    </row>
    <row r="112" spans="1:11" x14ac:dyDescent="0.25">
      <c r="A112" s="19"/>
      <c r="B112" s="19"/>
      <c r="C112" s="19"/>
      <c r="D112" s="19"/>
      <c r="E112" s="19"/>
      <c r="F112" s="19"/>
      <c r="G112" s="19"/>
      <c r="H112" s="19"/>
      <c r="I112" s="19"/>
      <c r="J112" s="19"/>
      <c r="K112" s="19"/>
    </row>
    <row r="113" spans="1:11" x14ac:dyDescent="0.25">
      <c r="A113" s="19"/>
      <c r="B113" s="19"/>
      <c r="C113" s="19"/>
      <c r="D113" s="19"/>
      <c r="E113" s="19"/>
      <c r="F113" s="19"/>
      <c r="G113" s="19"/>
      <c r="H113" s="19"/>
      <c r="I113" s="19"/>
      <c r="J113" s="19"/>
      <c r="K113" s="19"/>
    </row>
    <row r="114" spans="1:11" x14ac:dyDescent="0.25">
      <c r="A114" s="19"/>
      <c r="B114" s="19"/>
      <c r="C114" s="19"/>
      <c r="D114" s="19"/>
      <c r="E114" s="19"/>
      <c r="F114" s="19"/>
      <c r="G114" s="19"/>
      <c r="H114" s="19"/>
      <c r="I114" s="19"/>
      <c r="J114" s="19"/>
      <c r="K114" s="19"/>
    </row>
    <row r="115" spans="1:11" x14ac:dyDescent="0.25">
      <c r="A115" s="19"/>
      <c r="B115" s="19"/>
      <c r="C115" s="19"/>
      <c r="D115" s="19"/>
      <c r="E115" s="19"/>
      <c r="F115" s="19"/>
      <c r="G115" s="19"/>
      <c r="H115" s="19"/>
      <c r="I115" s="19"/>
      <c r="J115" s="19"/>
      <c r="K115" s="19"/>
    </row>
    <row r="116" spans="1:11" x14ac:dyDescent="0.25">
      <c r="A116" s="19"/>
      <c r="B116" s="19"/>
      <c r="C116" s="19"/>
      <c r="D116" s="19"/>
      <c r="E116" s="19"/>
      <c r="F116" s="19"/>
      <c r="G116" s="19"/>
      <c r="H116" s="19"/>
      <c r="I116" s="19"/>
      <c r="J116" s="19"/>
      <c r="K116" s="19"/>
    </row>
    <row r="117" spans="1:11" x14ac:dyDescent="0.25">
      <c r="A117" s="19"/>
      <c r="B117" s="19"/>
      <c r="C117" s="19"/>
      <c r="D117" s="19"/>
      <c r="E117" s="19"/>
      <c r="F117" s="19"/>
      <c r="G117" s="19"/>
      <c r="H117" s="19"/>
      <c r="I117" s="19"/>
      <c r="J117" s="19"/>
      <c r="K117" s="19"/>
    </row>
    <row r="118" spans="1:11" x14ac:dyDescent="0.25">
      <c r="A118" s="19"/>
      <c r="B118" s="19"/>
      <c r="C118" s="19"/>
      <c r="D118" s="19"/>
      <c r="E118" s="19"/>
      <c r="F118" s="19"/>
      <c r="G118" s="19"/>
      <c r="H118" s="19"/>
      <c r="I118" s="19"/>
      <c r="J118" s="19"/>
      <c r="K118" s="19"/>
    </row>
    <row r="119" spans="1:11" x14ac:dyDescent="0.25">
      <c r="A119" s="19"/>
      <c r="B119" s="19"/>
      <c r="C119" s="19"/>
      <c r="D119" s="19"/>
      <c r="E119" s="19"/>
      <c r="F119" s="19"/>
      <c r="G119" s="19"/>
      <c r="H119" s="19"/>
      <c r="I119" s="19"/>
      <c r="J119" s="19"/>
      <c r="K119" s="19"/>
    </row>
    <row r="120" spans="1:11" x14ac:dyDescent="0.25">
      <c r="A120" s="19"/>
      <c r="B120" s="19"/>
      <c r="C120" s="19"/>
      <c r="D120" s="19"/>
      <c r="E120" s="19"/>
      <c r="F120" s="19"/>
      <c r="G120" s="19"/>
      <c r="H120" s="19"/>
      <c r="I120" s="19"/>
      <c r="J120" s="19"/>
      <c r="K120" s="19"/>
    </row>
    <row r="121" spans="1:11" x14ac:dyDescent="0.25">
      <c r="A121" s="19"/>
      <c r="B121" s="19"/>
      <c r="C121" s="19"/>
      <c r="D121" s="19"/>
      <c r="E121" s="19"/>
      <c r="F121" s="19"/>
      <c r="G121" s="19"/>
      <c r="H121" s="19"/>
      <c r="I121" s="19"/>
      <c r="J121" s="19"/>
      <c r="K121" s="19"/>
    </row>
    <row r="122" spans="1:11" x14ac:dyDescent="0.25">
      <c r="A122" s="19"/>
      <c r="B122" s="19"/>
      <c r="C122" s="19"/>
      <c r="D122" s="19"/>
      <c r="E122" s="19"/>
      <c r="F122" s="19"/>
      <c r="G122" s="19"/>
      <c r="H122" s="19"/>
      <c r="I122" s="19"/>
      <c r="J122" s="19"/>
      <c r="K122" s="19"/>
    </row>
    <row r="123" spans="1:11" x14ac:dyDescent="0.25">
      <c r="A123" s="19"/>
      <c r="B123" s="19"/>
      <c r="C123" s="19"/>
      <c r="D123" s="19"/>
      <c r="E123" s="19"/>
      <c r="F123" s="19"/>
      <c r="G123" s="19"/>
      <c r="H123" s="19"/>
      <c r="I123" s="19"/>
      <c r="J123" s="19"/>
      <c r="K123" s="19"/>
    </row>
    <row r="124" spans="1:11" x14ac:dyDescent="0.25">
      <c r="A124" s="19"/>
      <c r="B124" s="19"/>
      <c r="C124" s="19"/>
      <c r="D124" s="19"/>
      <c r="E124" s="19"/>
      <c r="F124" s="19"/>
      <c r="G124" s="19"/>
      <c r="H124" s="19"/>
      <c r="I124" s="19"/>
      <c r="J124" s="19"/>
      <c r="K124" s="19"/>
    </row>
    <row r="125" spans="1:11" x14ac:dyDescent="0.25">
      <c r="A125" s="19"/>
      <c r="B125" s="19"/>
      <c r="C125" s="19"/>
      <c r="D125" s="19"/>
      <c r="E125" s="19"/>
      <c r="F125" s="19"/>
      <c r="G125" s="19"/>
      <c r="H125" s="19"/>
      <c r="I125" s="19"/>
      <c r="J125" s="19"/>
      <c r="K125" s="19"/>
    </row>
    <row r="126" spans="1:11" x14ac:dyDescent="0.25">
      <c r="A126" s="19"/>
      <c r="B126" s="19"/>
      <c r="C126" s="19"/>
      <c r="D126" s="19"/>
      <c r="E126" s="19"/>
      <c r="F126" s="19"/>
      <c r="G126" s="19"/>
      <c r="H126" s="19"/>
      <c r="I126" s="19"/>
      <c r="J126" s="19"/>
      <c r="K126" s="19"/>
    </row>
    <row r="127" spans="1:11" x14ac:dyDescent="0.25">
      <c r="A127" s="19"/>
      <c r="B127" s="19"/>
      <c r="C127" s="19"/>
      <c r="D127" s="19"/>
      <c r="E127" s="19"/>
      <c r="F127" s="19"/>
      <c r="G127" s="19"/>
      <c r="H127" s="19"/>
      <c r="I127" s="19"/>
      <c r="J127" s="19"/>
      <c r="K127" s="19"/>
    </row>
    <row r="128" spans="1:11" x14ac:dyDescent="0.25">
      <c r="A128" s="19"/>
      <c r="B128" s="19"/>
      <c r="C128" s="19"/>
      <c r="D128" s="19"/>
      <c r="E128" s="19"/>
      <c r="F128" s="19"/>
      <c r="G128" s="19"/>
      <c r="H128" s="19"/>
      <c r="I128" s="19"/>
      <c r="J128" s="19"/>
      <c r="K128" s="19"/>
    </row>
    <row r="129" spans="1:11" x14ac:dyDescent="0.25">
      <c r="A129" s="19"/>
      <c r="B129" s="19"/>
      <c r="C129" s="19"/>
      <c r="D129" s="19"/>
      <c r="E129" s="19"/>
      <c r="F129" s="19"/>
      <c r="G129" s="19"/>
      <c r="H129" s="19"/>
      <c r="I129" s="19"/>
      <c r="J129" s="19"/>
      <c r="K129" s="19"/>
    </row>
    <row r="130" spans="1:11" x14ac:dyDescent="0.25">
      <c r="A130" s="19"/>
      <c r="B130" s="19"/>
      <c r="C130" s="19"/>
      <c r="D130" s="19"/>
      <c r="E130" s="19"/>
      <c r="F130" s="19"/>
      <c r="G130" s="19"/>
      <c r="H130" s="19"/>
      <c r="I130" s="19"/>
      <c r="J130" s="19"/>
      <c r="K130" s="19"/>
    </row>
    <row r="131" spans="1:11" x14ac:dyDescent="0.25">
      <c r="A131" s="19"/>
      <c r="B131" s="19"/>
      <c r="C131" s="19"/>
      <c r="D131" s="19"/>
      <c r="E131" s="19"/>
      <c r="F131" s="19"/>
      <c r="G131" s="19"/>
      <c r="H131" s="19"/>
      <c r="I131" s="19"/>
      <c r="J131" s="19"/>
      <c r="K131" s="19"/>
    </row>
    <row r="132" spans="1:11" x14ac:dyDescent="0.25">
      <c r="A132" s="19"/>
      <c r="B132" s="19"/>
      <c r="C132" s="19"/>
      <c r="D132" s="19"/>
      <c r="E132" s="19"/>
      <c r="F132" s="19"/>
      <c r="G132" s="19"/>
      <c r="H132" s="19"/>
      <c r="I132" s="19"/>
      <c r="J132" s="19"/>
      <c r="K132" s="19"/>
    </row>
    <row r="133" spans="1:11" x14ac:dyDescent="0.25">
      <c r="A133" s="19"/>
      <c r="B133" s="19"/>
      <c r="C133" s="19"/>
      <c r="D133" s="19"/>
      <c r="E133" s="19"/>
      <c r="F133" s="19"/>
      <c r="G133" s="19"/>
      <c r="H133" s="19"/>
      <c r="I133" s="19"/>
      <c r="J133" s="19"/>
      <c r="K133" s="19"/>
    </row>
    <row r="134" spans="1:11" x14ac:dyDescent="0.25">
      <c r="A134" s="19"/>
      <c r="B134" s="19"/>
      <c r="C134" s="19"/>
      <c r="D134" s="19"/>
      <c r="E134" s="19"/>
      <c r="F134" s="19"/>
      <c r="G134" s="19"/>
      <c r="H134" s="19"/>
      <c r="I134" s="19"/>
      <c r="J134" s="19"/>
      <c r="K134" s="19"/>
    </row>
    <row r="135" spans="1:11" x14ac:dyDescent="0.25">
      <c r="A135" s="19"/>
      <c r="B135" s="19"/>
      <c r="C135" s="19"/>
      <c r="D135" s="19"/>
      <c r="E135" s="19"/>
      <c r="F135" s="19"/>
      <c r="G135" s="19"/>
      <c r="H135" s="19"/>
      <c r="I135" s="19"/>
      <c r="J135" s="19"/>
      <c r="K135" s="19"/>
    </row>
    <row r="136" spans="1:11" x14ac:dyDescent="0.25">
      <c r="A136" s="19"/>
      <c r="B136" s="19"/>
      <c r="C136" s="19"/>
      <c r="D136" s="19"/>
      <c r="E136" s="19"/>
      <c r="F136" s="19"/>
      <c r="G136" s="19"/>
      <c r="H136" s="19"/>
      <c r="I136" s="19"/>
      <c r="J136" s="19"/>
      <c r="K136" s="19"/>
    </row>
    <row r="137" spans="1:11" x14ac:dyDescent="0.25">
      <c r="A137" s="19"/>
      <c r="B137" s="19"/>
      <c r="C137" s="19"/>
      <c r="D137" s="19"/>
      <c r="E137" s="19"/>
      <c r="F137" s="19"/>
      <c r="G137" s="19"/>
      <c r="H137" s="19"/>
      <c r="I137" s="19"/>
      <c r="J137" s="19"/>
      <c r="K137" s="19"/>
    </row>
    <row r="138" spans="1:11" x14ac:dyDescent="0.25">
      <c r="A138" s="19"/>
      <c r="B138" s="19"/>
      <c r="C138" s="19"/>
      <c r="D138" s="19"/>
      <c r="E138" s="19"/>
      <c r="F138" s="19"/>
      <c r="G138" s="19"/>
      <c r="H138" s="19"/>
      <c r="I138" s="19"/>
      <c r="J138" s="19"/>
      <c r="K138" s="19"/>
    </row>
    <row r="139" spans="1:11" x14ac:dyDescent="0.25">
      <c r="A139" s="19"/>
      <c r="B139" s="19"/>
      <c r="C139" s="19"/>
      <c r="D139" s="19"/>
      <c r="E139" s="19"/>
      <c r="F139" s="19"/>
      <c r="G139" s="19"/>
      <c r="H139" s="19"/>
      <c r="I139" s="19"/>
      <c r="J139" s="19"/>
      <c r="K139" s="19"/>
    </row>
    <row r="140" spans="1:11" x14ac:dyDescent="0.25">
      <c r="A140" s="19"/>
      <c r="B140" s="19"/>
      <c r="C140" s="19"/>
      <c r="D140" s="19"/>
      <c r="E140" s="19"/>
      <c r="F140" s="19"/>
      <c r="G140" s="19"/>
      <c r="H140" s="19"/>
      <c r="I140" s="19"/>
      <c r="J140" s="19"/>
      <c r="K140" s="19"/>
    </row>
    <row r="141" spans="1:11" x14ac:dyDescent="0.25">
      <c r="A141" s="19"/>
      <c r="B141" s="19"/>
      <c r="C141" s="19"/>
      <c r="D141" s="19"/>
      <c r="E141" s="19"/>
      <c r="F141" s="19"/>
      <c r="G141" s="19"/>
      <c r="H141" s="19"/>
      <c r="I141" s="19"/>
      <c r="J141" s="19"/>
      <c r="K141" s="19"/>
    </row>
    <row r="142" spans="1:11" x14ac:dyDescent="0.25">
      <c r="A142" s="19"/>
      <c r="B142" s="19"/>
      <c r="C142" s="19"/>
      <c r="D142" s="19"/>
      <c r="E142" s="19"/>
      <c r="F142" s="19"/>
      <c r="G142" s="19"/>
      <c r="H142" s="19"/>
      <c r="I142" s="19"/>
      <c r="J142" s="19"/>
      <c r="K142" s="19"/>
    </row>
    <row r="143" spans="1:11" x14ac:dyDescent="0.25">
      <c r="A143" s="19"/>
      <c r="B143" s="19"/>
      <c r="C143" s="19"/>
      <c r="D143" s="19"/>
      <c r="E143" s="19"/>
      <c r="F143" s="19"/>
      <c r="G143" s="19"/>
      <c r="H143" s="19"/>
      <c r="I143" s="19"/>
      <c r="J143" s="19"/>
      <c r="K143" s="19"/>
    </row>
    <row r="144" spans="1:11" x14ac:dyDescent="0.25">
      <c r="A144" s="19"/>
      <c r="B144" s="19"/>
      <c r="C144" s="19"/>
      <c r="D144" s="19"/>
      <c r="E144" s="19"/>
      <c r="F144" s="19"/>
      <c r="G144" s="19"/>
      <c r="H144" s="19"/>
      <c r="I144" s="19"/>
      <c r="J144" s="19"/>
      <c r="K144" s="19"/>
    </row>
    <row r="145" spans="1:11" x14ac:dyDescent="0.25">
      <c r="A145" s="19"/>
      <c r="B145" s="19"/>
      <c r="C145" s="19"/>
      <c r="D145" s="19"/>
      <c r="E145" s="19"/>
      <c r="F145" s="19"/>
      <c r="G145" s="19"/>
      <c r="H145" s="19"/>
      <c r="I145" s="19"/>
      <c r="J145" s="19"/>
      <c r="K145" s="19"/>
    </row>
    <row r="146" spans="1:11" x14ac:dyDescent="0.25">
      <c r="A146" s="19"/>
      <c r="B146" s="19"/>
      <c r="C146" s="19"/>
      <c r="D146" s="19"/>
      <c r="E146" s="19"/>
      <c r="F146" s="19"/>
      <c r="G146" s="19"/>
      <c r="H146" s="19"/>
      <c r="I146" s="19"/>
      <c r="J146" s="19"/>
      <c r="K146" s="19"/>
    </row>
    <row r="147" spans="1:11" x14ac:dyDescent="0.25">
      <c r="A147" s="19"/>
      <c r="B147" s="19"/>
      <c r="C147" s="19"/>
      <c r="D147" s="19"/>
      <c r="E147" s="19"/>
      <c r="F147" s="19"/>
      <c r="G147" s="19"/>
      <c r="H147" s="19"/>
      <c r="I147" s="19"/>
      <c r="J147" s="19"/>
      <c r="K147" s="19"/>
    </row>
    <row r="148" spans="1:11" x14ac:dyDescent="0.25">
      <c r="A148" s="19"/>
      <c r="B148" s="19"/>
      <c r="C148" s="19"/>
      <c r="D148" s="19"/>
      <c r="E148" s="19"/>
      <c r="F148" s="19"/>
      <c r="G148" s="19"/>
      <c r="H148" s="19"/>
      <c r="I148" s="19"/>
      <c r="J148" s="19"/>
      <c r="K148" s="19"/>
    </row>
    <row r="149" spans="1:11" x14ac:dyDescent="0.25">
      <c r="A149" s="19"/>
      <c r="B149" s="19"/>
      <c r="C149" s="19"/>
      <c r="D149" s="19"/>
      <c r="E149" s="19"/>
      <c r="F149" s="19"/>
      <c r="G149" s="19"/>
      <c r="H149" s="19"/>
      <c r="I149" s="19"/>
      <c r="J149" s="19"/>
      <c r="K149" s="19"/>
    </row>
    <row r="150" spans="1:11" x14ac:dyDescent="0.25">
      <c r="A150" s="19"/>
      <c r="B150" s="19"/>
      <c r="C150" s="19"/>
      <c r="D150" s="19"/>
      <c r="E150" s="19"/>
      <c r="F150" s="19"/>
      <c r="G150" s="19"/>
      <c r="H150" s="19"/>
      <c r="I150" s="19"/>
      <c r="J150" s="19"/>
      <c r="K150" s="19"/>
    </row>
    <row r="151" spans="1:11" x14ac:dyDescent="0.25">
      <c r="A151" s="19"/>
      <c r="B151" s="19"/>
      <c r="C151" s="19"/>
      <c r="D151" s="19"/>
      <c r="E151" s="19"/>
      <c r="F151" s="19"/>
      <c r="G151" s="19"/>
      <c r="H151" s="19"/>
      <c r="I151" s="19"/>
      <c r="J151" s="19"/>
      <c r="K151" s="19"/>
    </row>
    <row r="152" spans="1:11" x14ac:dyDescent="0.25">
      <c r="A152" s="19"/>
      <c r="B152" s="19"/>
      <c r="C152" s="19"/>
      <c r="D152" s="19"/>
      <c r="E152" s="19"/>
      <c r="F152" s="19"/>
      <c r="G152" s="19"/>
      <c r="H152" s="19"/>
      <c r="I152" s="19"/>
      <c r="J152" s="19"/>
      <c r="K152" s="19"/>
    </row>
    <row r="153" spans="1:11" x14ac:dyDescent="0.25">
      <c r="A153" s="19"/>
      <c r="B153" s="19"/>
      <c r="C153" s="19"/>
      <c r="D153" s="19"/>
      <c r="E153" s="19"/>
      <c r="F153" s="19"/>
      <c r="G153" s="19"/>
      <c r="H153" s="19"/>
      <c r="I153" s="19"/>
      <c r="J153" s="19"/>
      <c r="K153" s="19"/>
    </row>
    <row r="154" spans="1:11" x14ac:dyDescent="0.25">
      <c r="A154" s="19"/>
      <c r="B154" s="19"/>
      <c r="C154" s="19"/>
      <c r="D154" s="19"/>
      <c r="E154" s="19"/>
      <c r="F154" s="19"/>
      <c r="G154" s="19"/>
      <c r="H154" s="19"/>
      <c r="I154" s="19"/>
      <c r="J154" s="19"/>
      <c r="K154" s="19"/>
    </row>
    <row r="155" spans="1:11" x14ac:dyDescent="0.25">
      <c r="A155" s="19"/>
      <c r="B155" s="19"/>
      <c r="C155" s="19"/>
      <c r="D155" s="19"/>
      <c r="E155" s="19"/>
      <c r="F155" s="19"/>
      <c r="G155" s="19"/>
      <c r="H155" s="19"/>
      <c r="I155" s="19"/>
      <c r="J155" s="19"/>
      <c r="K155" s="19"/>
    </row>
    <row r="156" spans="1:11" x14ac:dyDescent="0.25">
      <c r="A156" s="19"/>
      <c r="B156" s="19"/>
      <c r="C156" s="19"/>
      <c r="D156" s="19"/>
      <c r="E156" s="19"/>
      <c r="F156" s="19"/>
      <c r="G156" s="19"/>
      <c r="H156" s="19"/>
      <c r="I156" s="19"/>
      <c r="J156" s="19"/>
      <c r="K156" s="19"/>
    </row>
    <row r="157" spans="1:11" x14ac:dyDescent="0.25">
      <c r="A157" s="19"/>
      <c r="B157" s="19"/>
      <c r="C157" s="19"/>
      <c r="D157" s="19"/>
      <c r="E157" s="19"/>
      <c r="F157" s="19"/>
      <c r="G157" s="19"/>
      <c r="H157" s="19"/>
      <c r="I157" s="19"/>
      <c r="J157" s="19"/>
      <c r="K157" s="19"/>
    </row>
    <row r="158" spans="1:11" x14ac:dyDescent="0.25">
      <c r="A158" s="19"/>
      <c r="B158" s="19"/>
      <c r="C158" s="19"/>
      <c r="D158" s="19"/>
      <c r="E158" s="19"/>
      <c r="F158" s="19"/>
      <c r="G158" s="19"/>
      <c r="H158" s="19"/>
      <c r="I158" s="19"/>
      <c r="J158" s="19"/>
      <c r="K158" s="19"/>
    </row>
    <row r="159" spans="1:11" x14ac:dyDescent="0.25">
      <c r="A159" s="19"/>
      <c r="B159" s="19"/>
      <c r="C159" s="19"/>
      <c r="D159" s="19"/>
      <c r="E159" s="19"/>
      <c r="F159" s="19"/>
      <c r="G159" s="19"/>
      <c r="H159" s="19"/>
      <c r="I159" s="19"/>
      <c r="J159" s="19"/>
      <c r="K159" s="19"/>
    </row>
    <row r="160" spans="1:11" x14ac:dyDescent="0.25">
      <c r="A160" s="19"/>
      <c r="B160" s="19"/>
      <c r="C160" s="19"/>
      <c r="D160" s="19"/>
      <c r="E160" s="19"/>
      <c r="F160" s="19"/>
      <c r="G160" s="19"/>
      <c r="H160" s="19"/>
      <c r="I160" s="19"/>
      <c r="J160" s="19"/>
      <c r="K160" s="19"/>
    </row>
    <row r="161" spans="1:11" x14ac:dyDescent="0.25">
      <c r="A161" s="19"/>
      <c r="B161" s="19"/>
      <c r="C161" s="19"/>
      <c r="D161" s="19"/>
      <c r="E161" s="19"/>
      <c r="F161" s="19"/>
      <c r="G161" s="19"/>
      <c r="H161" s="19"/>
      <c r="I161" s="19"/>
      <c r="J161" s="19"/>
      <c r="K161" s="19"/>
    </row>
    <row r="162" spans="1:11" x14ac:dyDescent="0.25">
      <c r="A162" s="19"/>
      <c r="B162" s="19"/>
      <c r="C162" s="19"/>
      <c r="D162" s="19"/>
      <c r="E162" s="19"/>
      <c r="F162" s="19"/>
      <c r="G162" s="19"/>
      <c r="H162" s="19"/>
      <c r="I162" s="19"/>
      <c r="J162" s="19"/>
      <c r="K162" s="19"/>
    </row>
    <row r="163" spans="1:11" x14ac:dyDescent="0.25">
      <c r="A163" s="19"/>
      <c r="B163" s="19"/>
      <c r="C163" s="19"/>
      <c r="D163" s="19"/>
      <c r="E163" s="19"/>
      <c r="F163" s="19"/>
      <c r="G163" s="19"/>
      <c r="H163" s="19"/>
      <c r="I163" s="19"/>
      <c r="J163" s="19"/>
      <c r="K163" s="19"/>
    </row>
    <row r="164" spans="1:11" x14ac:dyDescent="0.25">
      <c r="A164" s="19"/>
      <c r="B164" s="19"/>
      <c r="C164" s="19"/>
      <c r="D164" s="19"/>
      <c r="E164" s="19"/>
      <c r="F164" s="19"/>
      <c r="G164" s="19"/>
      <c r="H164" s="19"/>
      <c r="I164" s="19"/>
      <c r="J164" s="19"/>
      <c r="K164" s="19"/>
    </row>
    <row r="165" spans="1:11" x14ac:dyDescent="0.25">
      <c r="A165" s="19"/>
      <c r="B165" s="19"/>
      <c r="C165" s="19"/>
      <c r="D165" s="19"/>
      <c r="E165" s="19"/>
      <c r="F165" s="19"/>
      <c r="G165" s="19"/>
      <c r="H165" s="19"/>
      <c r="I165" s="19"/>
      <c r="J165" s="19"/>
      <c r="K165" s="19"/>
    </row>
    <row r="166" spans="1:11" x14ac:dyDescent="0.25">
      <c r="A166" s="19"/>
      <c r="B166" s="19"/>
      <c r="C166" s="19"/>
      <c r="D166" s="19"/>
      <c r="E166" s="19"/>
      <c r="F166" s="19"/>
      <c r="G166" s="19"/>
      <c r="H166" s="19"/>
      <c r="I166" s="19"/>
      <c r="J166" s="19"/>
      <c r="K166" s="19"/>
    </row>
    <row r="167" spans="1:11" x14ac:dyDescent="0.25">
      <c r="A167" s="19"/>
      <c r="B167" s="19"/>
      <c r="C167" s="19"/>
      <c r="D167" s="19"/>
      <c r="E167" s="19"/>
      <c r="F167" s="19"/>
      <c r="G167" s="19"/>
      <c r="H167" s="19"/>
      <c r="I167" s="19"/>
      <c r="J167" s="19"/>
      <c r="K167" s="19"/>
    </row>
    <row r="168" spans="1:11" x14ac:dyDescent="0.25">
      <c r="A168" s="19"/>
      <c r="B168" s="19"/>
      <c r="C168" s="19"/>
      <c r="D168" s="19"/>
      <c r="E168" s="19"/>
      <c r="F168" s="19"/>
      <c r="G168" s="19"/>
      <c r="H168" s="19"/>
      <c r="I168" s="19"/>
      <c r="J168" s="19"/>
      <c r="K168" s="19"/>
    </row>
    <row r="169" spans="1:11" x14ac:dyDescent="0.25">
      <c r="A169" s="19"/>
      <c r="B169" s="19"/>
      <c r="C169" s="19"/>
      <c r="D169" s="19"/>
      <c r="E169" s="19"/>
      <c r="F169" s="19"/>
      <c r="G169" s="19"/>
      <c r="H169" s="19"/>
      <c r="I169" s="19"/>
      <c r="J169" s="19"/>
      <c r="K169" s="19"/>
    </row>
    <row r="170" spans="1:11" x14ac:dyDescent="0.25">
      <c r="A170" s="19"/>
      <c r="B170" s="19"/>
      <c r="C170" s="19"/>
      <c r="D170" s="19"/>
      <c r="E170" s="19"/>
      <c r="F170" s="19"/>
      <c r="G170" s="19"/>
      <c r="H170" s="19"/>
      <c r="I170" s="19"/>
      <c r="J170" s="19"/>
      <c r="K170" s="19"/>
    </row>
    <row r="171" spans="1:11" x14ac:dyDescent="0.25">
      <c r="A171" s="19"/>
      <c r="B171" s="19"/>
      <c r="C171" s="19"/>
      <c r="D171" s="19"/>
      <c r="E171" s="19"/>
      <c r="F171" s="19"/>
      <c r="G171" s="19"/>
      <c r="H171" s="19"/>
      <c r="I171" s="19"/>
      <c r="J171" s="19"/>
      <c r="K171" s="19"/>
    </row>
    <row r="172" spans="1:11" x14ac:dyDescent="0.25">
      <c r="A172" s="19"/>
      <c r="B172" s="19"/>
      <c r="C172" s="19"/>
      <c r="G172" s="19"/>
      <c r="H172" s="19"/>
      <c r="I172" s="19"/>
      <c r="J172" s="19"/>
      <c r="K172" s="19"/>
    </row>
  </sheetData>
  <sortState xmlns:xlrd2="http://schemas.microsoft.com/office/spreadsheetml/2017/richdata2" ref="D39:F52">
    <sortCondition ref="E39:E52"/>
  </sortState>
  <dataConsolidate/>
  <mergeCells count="8">
    <mergeCell ref="I39:K39"/>
    <mergeCell ref="A11:D11"/>
    <mergeCell ref="A1:H1"/>
    <mergeCell ref="I46:K46"/>
    <mergeCell ref="E11:G11"/>
    <mergeCell ref="E12:G12"/>
    <mergeCell ref="E14:G14"/>
    <mergeCell ref="E15:G15"/>
  </mergeCells>
  <dataValidations disablePrompts="1" count="1">
    <dataValidation type="list" allowBlank="1" showInputMessage="1" showErrorMessage="1" sqref="E3" xr:uid="{00000000-0002-0000-0300-000000000000}">
      <formula1>$I$41:$I$43</formula1>
    </dataValidation>
  </dataValidation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4"/>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31</vt:i4>
      </vt:variant>
    </vt:vector>
  </HeadingPairs>
  <TitlesOfParts>
    <vt:vector size="35" baseType="lpstr">
      <vt:lpstr>Tabela</vt:lpstr>
      <vt:lpstr>Plan2</vt:lpstr>
      <vt:lpstr>CÁLCULO</vt:lpstr>
      <vt:lpstr>Plan1</vt:lpstr>
      <vt:lpstr>a_canvas</vt:lpstr>
      <vt:lpstr>a_cetim</vt:lpstr>
      <vt:lpstr>alta_definicao</vt:lpstr>
      <vt:lpstr>Tabela!Area_de_impressao</vt:lpstr>
      <vt:lpstr>canvas</vt:lpstr>
      <vt:lpstr>CC</vt:lpstr>
      <vt:lpstr>cetim</vt:lpstr>
      <vt:lpstr>dupla_densidade</vt:lpstr>
      <vt:lpstr>formula_batidas</vt:lpstr>
      <vt:lpstr>larg_calc</vt:lpstr>
      <vt:lpstr>larg_real</vt:lpstr>
      <vt:lpstr>lista_teste</vt:lpstr>
      <vt:lpstr>metros</vt:lpstr>
      <vt:lpstr>milheiros</vt:lpstr>
      <vt:lpstr>nadson</vt:lpstr>
      <vt:lpstr>nome_cortes</vt:lpstr>
      <vt:lpstr>perc_aumento_geral</vt:lpstr>
      <vt:lpstr>perc_ultrassonico</vt:lpstr>
      <vt:lpstr>sarja</vt:lpstr>
      <vt:lpstr>SERGIO</vt:lpstr>
      <vt:lpstr>super_batidas</vt:lpstr>
      <vt:lpstr>SuperSoft</vt:lpstr>
      <vt:lpstr>tab_cortes</vt:lpstr>
      <vt:lpstr>tab_metros</vt:lpstr>
      <vt:lpstr>tab_tipos</vt:lpstr>
      <vt:lpstr>tabela_fator</vt:lpstr>
      <vt:lpstr>tafeta</vt:lpstr>
      <vt:lpstr>tipo</vt:lpstr>
      <vt:lpstr>urdume</vt:lpstr>
      <vt:lpstr>valor_total</vt:lpstr>
      <vt:lpstr>var_largura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Rogaciano Paz</cp:lastModifiedBy>
  <cp:lastPrinted>2025-03-13T21:58:54Z</cp:lastPrinted>
  <dcterms:created xsi:type="dcterms:W3CDTF">2009-02-24T23:42:56Z</dcterms:created>
  <dcterms:modified xsi:type="dcterms:W3CDTF">2025-11-20T12:42:10Z</dcterms:modified>
</cp:coreProperties>
</file>